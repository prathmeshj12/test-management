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1C080BF1-1B9A-4253-AE48-EFA0F5C72B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ABIS" sheetId="2" r:id="rId2"/>
    <sheet name="Windows-SBI" sheetId="3" r:id="rId3"/>
    <sheet name="Windows-SDK" sheetId="4" r:id="rId4"/>
    <sheet name="Android-SBI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cM2WlqncgNBtaZSe5QbvO2A7sNT/xRjZhGDwhrmt7uQ="/>
    </ext>
  </extLst>
</workbook>
</file>

<file path=xl/calcChain.xml><?xml version="1.0" encoding="utf-8"?>
<calcChain xmlns="http://schemas.openxmlformats.org/spreadsheetml/2006/main">
  <c r="F33" i="1" l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O23" i="1"/>
  <c r="N23" i="1"/>
  <c r="M23" i="1"/>
  <c r="L23" i="1"/>
  <c r="K23" i="1"/>
  <c r="J23" i="1"/>
  <c r="I23" i="1"/>
  <c r="H23" i="1"/>
  <c r="G23" i="1"/>
  <c r="F23" i="1"/>
  <c r="E23" i="1"/>
  <c r="D23" i="1"/>
  <c r="O22" i="1"/>
  <c r="N22" i="1"/>
  <c r="M22" i="1"/>
  <c r="L22" i="1"/>
  <c r="K22" i="1"/>
  <c r="J22" i="1"/>
  <c r="I22" i="1"/>
  <c r="H22" i="1"/>
  <c r="G22" i="1"/>
  <c r="F22" i="1"/>
  <c r="E22" i="1"/>
  <c r="D22" i="1"/>
  <c r="O21" i="1"/>
  <c r="N21" i="1"/>
  <c r="M21" i="1"/>
  <c r="L21" i="1"/>
  <c r="K21" i="1"/>
  <c r="J21" i="1"/>
  <c r="I21" i="1"/>
  <c r="H21" i="1"/>
  <c r="G21" i="1"/>
  <c r="F21" i="1"/>
  <c r="E21" i="1"/>
  <c r="D21" i="1"/>
  <c r="O20" i="1"/>
  <c r="N20" i="1"/>
  <c r="M20" i="1"/>
  <c r="L20" i="1"/>
  <c r="K20" i="1"/>
  <c r="J20" i="1"/>
  <c r="I20" i="1"/>
  <c r="H20" i="1"/>
  <c r="G20" i="1"/>
  <c r="F20" i="1"/>
  <c r="E20" i="1"/>
  <c r="D20" i="1"/>
  <c r="O19" i="1"/>
  <c r="N19" i="1"/>
  <c r="M19" i="1"/>
  <c r="L19" i="1"/>
  <c r="K19" i="1"/>
  <c r="J19" i="1"/>
  <c r="I19" i="1"/>
  <c r="H19" i="1"/>
  <c r="G19" i="1"/>
  <c r="F19" i="1"/>
  <c r="E19" i="1"/>
  <c r="D19" i="1"/>
  <c r="O12" i="1"/>
  <c r="N12" i="1"/>
  <c r="M12" i="1"/>
  <c r="L12" i="1"/>
  <c r="K12" i="1"/>
  <c r="J12" i="1"/>
  <c r="I12" i="1"/>
  <c r="H12" i="1"/>
  <c r="G12" i="1"/>
  <c r="F12" i="1"/>
  <c r="E12" i="1"/>
  <c r="D12" i="1"/>
  <c r="O11" i="1"/>
  <c r="N11" i="1"/>
  <c r="M11" i="1"/>
  <c r="L11" i="1"/>
  <c r="K11" i="1"/>
  <c r="J11" i="1"/>
  <c r="I11" i="1"/>
  <c r="H11" i="1"/>
  <c r="G11" i="1"/>
  <c r="F11" i="1"/>
  <c r="E11" i="1"/>
  <c r="D11" i="1"/>
  <c r="O10" i="1"/>
  <c r="N10" i="1"/>
  <c r="M10" i="1"/>
  <c r="L10" i="1"/>
  <c r="K10" i="1"/>
  <c r="J10" i="1"/>
  <c r="I10" i="1"/>
  <c r="H10" i="1"/>
  <c r="G10" i="1"/>
  <c r="F10" i="1"/>
  <c r="E10" i="1"/>
  <c r="D10" i="1"/>
  <c r="O9" i="1"/>
  <c r="N9" i="1"/>
  <c r="M9" i="1"/>
  <c r="L9" i="1"/>
  <c r="K9" i="1"/>
  <c r="J9" i="1"/>
  <c r="I9" i="1"/>
  <c r="H9" i="1"/>
  <c r="G9" i="1"/>
  <c r="F9" i="1"/>
  <c r="E9" i="1"/>
  <c r="D9" i="1"/>
  <c r="O8" i="1"/>
  <c r="N8" i="1"/>
  <c r="M8" i="1"/>
  <c r="L8" i="1"/>
  <c r="K8" i="1"/>
  <c r="J8" i="1"/>
  <c r="I8" i="1"/>
  <c r="H8" i="1"/>
  <c r="G8" i="1"/>
  <c r="F8" i="1"/>
  <c r="E8" i="1"/>
  <c r="D8" i="1"/>
  <c r="D14" i="1" l="1"/>
  <c r="D13" i="1"/>
  <c r="E14" i="1"/>
  <c r="E13" i="1"/>
  <c r="F14" i="1"/>
  <c r="F13" i="1"/>
  <c r="G14" i="1"/>
  <c r="G13" i="1"/>
  <c r="H14" i="1"/>
  <c r="H13" i="1"/>
  <c r="I14" i="1"/>
  <c r="I13" i="1"/>
  <c r="J14" i="1"/>
  <c r="J13" i="1"/>
  <c r="K14" i="1"/>
  <c r="K13" i="1"/>
  <c r="L14" i="1"/>
  <c r="L13" i="1"/>
  <c r="M14" i="1"/>
  <c r="M13" i="1"/>
  <c r="N14" i="1"/>
  <c r="N13" i="1"/>
  <c r="O14" i="1"/>
  <c r="O13" i="1"/>
  <c r="D25" i="1"/>
  <c r="D24" i="1"/>
  <c r="E25" i="1"/>
  <c r="E24" i="1"/>
  <c r="F25" i="1"/>
  <c r="F24" i="1"/>
  <c r="G25" i="1"/>
  <c r="G24" i="1"/>
  <c r="H25" i="1"/>
  <c r="H24" i="1"/>
  <c r="I25" i="1"/>
  <c r="I24" i="1"/>
  <c r="J25" i="1"/>
  <c r="J24" i="1"/>
  <c r="K25" i="1"/>
  <c r="K24" i="1"/>
  <c r="L25" i="1"/>
  <c r="L24" i="1"/>
  <c r="M25" i="1"/>
  <c r="M24" i="1"/>
  <c r="N25" i="1"/>
  <c r="N24" i="1"/>
  <c r="O25" i="1"/>
  <c r="O24" i="1"/>
  <c r="D35" i="1"/>
  <c r="D34" i="1"/>
  <c r="E35" i="1"/>
  <c r="E34" i="1"/>
  <c r="F35" i="1"/>
  <c r="F34" i="1"/>
</calcChain>
</file>

<file path=xl/sharedStrings.xml><?xml version="1.0" encoding="utf-8"?>
<sst xmlns="http://schemas.openxmlformats.org/spreadsheetml/2006/main" count="10620" uniqueCount="953">
  <si>
    <t>Compliance Tool Kit (CTK)v1.4.4 - Verification Summary</t>
  </si>
  <si>
    <t>Windows - SBI Testing</t>
  </si>
  <si>
    <t>Test(s) Metrics</t>
  </si>
  <si>
    <t>With Mock</t>
  </si>
  <si>
    <t>With Device</t>
  </si>
  <si>
    <r>
      <rPr>
        <b/>
        <i/>
        <u/>
        <sz val="11"/>
        <color rgb="FF000000"/>
        <rFont val="Arial"/>
      </rPr>
      <t xml:space="preserve">Mock Details:
</t>
    </r>
    <r>
      <rPr>
        <i/>
        <u/>
        <sz val="11"/>
        <color rgb="FF000000"/>
        <rFont val="Arial"/>
      </rPr>
      <t xml:space="preserve">- MOSIP mock SBI
</t>
    </r>
    <r>
      <rPr>
        <b/>
        <i/>
        <u/>
        <sz val="11"/>
        <color rgb="FF000000"/>
        <rFont val="Arial"/>
      </rPr>
      <t xml:space="preserve">Note:
</t>
    </r>
    <r>
      <rPr>
        <i/>
        <u/>
        <sz val="11"/>
        <color rgb="FF000000"/>
        <rFont val="Arial"/>
      </rPr>
      <t>Windows CTK with real devices testing is out of scope</t>
    </r>
  </si>
  <si>
    <t>Auth</t>
  </si>
  <si>
    <t>Reg</t>
  </si>
  <si>
    <t>FP</t>
  </si>
  <si>
    <t>IRIS</t>
  </si>
  <si>
    <t>Face</t>
  </si>
  <si>
    <t xml:space="preserve">Total </t>
  </si>
  <si>
    <t>Passed</t>
  </si>
  <si>
    <t>Failed</t>
  </si>
  <si>
    <t>Pending</t>
  </si>
  <si>
    <t>N/A</t>
  </si>
  <si>
    <t>Test Rate (%)</t>
  </si>
  <si>
    <t>Pass Rate (%)</t>
  </si>
  <si>
    <t>Android - SBI Testing</t>
  </si>
  <si>
    <r>
      <rPr>
        <b/>
        <i/>
        <u/>
        <sz val="11"/>
        <color rgb="FF000000"/>
        <rFont val="Calibri, Arial"/>
      </rPr>
      <t xml:space="preserve">Mock Details:
</t>
    </r>
    <r>
      <rPr>
        <i/>
        <u/>
        <sz val="11"/>
        <color rgb="FF000000"/>
        <rFont val="Calibri, Arial"/>
      </rPr>
      <t xml:space="preserve">- MOSIP Android mock SBI
</t>
    </r>
    <r>
      <rPr>
        <b/>
        <i/>
        <u/>
        <sz val="11"/>
        <color rgb="FF000000"/>
        <rFont val="Calibri, Arial"/>
      </rPr>
      <t xml:space="preserve">
Note:
</t>
    </r>
    <r>
      <rPr>
        <i/>
        <u/>
        <sz val="11"/>
        <color rgb="FF000000"/>
        <rFont val="Calibri, Arial"/>
      </rPr>
      <t>Android CTK with real devices testing is out of scope</t>
    </r>
  </si>
  <si>
    <t>SDK Testing - Windows</t>
  </si>
  <si>
    <t>With Windows-SDK</t>
  </si>
  <si>
    <r>
      <rPr>
        <b/>
        <u/>
        <sz val="11"/>
        <color rgb="FF000000"/>
        <rFont val="Calibri, Arial"/>
      </rPr>
      <t xml:space="preserve">Mock ''Windows-SDK'' Details:
</t>
    </r>
    <r>
      <rPr>
        <i/>
        <u/>
        <sz val="11"/>
        <color rgb="FF000000"/>
        <rFont val="Calibri, Arial"/>
      </rPr>
      <t xml:space="preserve">- MOSIP mock SDK 1.2.0.2-SNAPSHOT' 'Windows-SDK'
</t>
    </r>
    <r>
      <rPr>
        <b/>
        <u/>
        <sz val="11"/>
        <color rgb="FF000000"/>
        <rFont val="Calibri, Arial"/>
      </rPr>
      <t xml:space="preserve">
Note: 
</t>
    </r>
    <r>
      <rPr>
        <u/>
        <sz val="11"/>
        <color rgb="FF000000"/>
        <rFont val="Calibri, Arial"/>
      </rPr>
      <t>Segmentation out of scope
Real Bio SDK testing is out of scope</t>
    </r>
  </si>
  <si>
    <t>Mock</t>
  </si>
  <si>
    <t>Tech5</t>
  </si>
  <si>
    <t>NPrime</t>
  </si>
  <si>
    <t>ABIS Testing - Windows</t>
  </si>
  <si>
    <t>With ABIS</t>
  </si>
  <si>
    <r>
      <rPr>
        <b/>
        <u/>
        <sz val="11"/>
        <color theme="1"/>
        <rFont val="Calibri, Arial"/>
      </rPr>
      <t xml:space="preserve">Mock ABIS Details:
</t>
    </r>
    <r>
      <rPr>
        <i/>
        <u/>
        <sz val="11"/>
        <color theme="1"/>
        <rFont val="Calibri, Arial"/>
      </rPr>
      <t xml:space="preserve">- MOSIP mock ABIS
</t>
    </r>
    <r>
      <rPr>
        <b/>
        <u/>
        <sz val="11"/>
        <color theme="1"/>
        <rFont val="Calibri, Arial"/>
      </rPr>
      <t xml:space="preserve">
Note: 
</t>
    </r>
    <r>
      <rPr>
        <u/>
        <sz val="11"/>
        <color theme="1"/>
        <rFont val="Calibri, Arial"/>
      </rPr>
      <t>Real ABIS testing is out of scope</t>
    </r>
  </si>
  <si>
    <t>Real</t>
  </si>
  <si>
    <t>S.No</t>
  </si>
  <si>
    <t>Test Id</t>
  </si>
  <si>
    <t>Test Name</t>
  </si>
  <si>
    <t>Test Description</t>
  </si>
  <si>
    <t>Validator</t>
  </si>
  <si>
    <t>Mock ABIS</t>
  </si>
  <si>
    <t>Real ABIS</t>
  </si>
  <si>
    <t>Remarks</t>
  </si>
  <si>
    <t>ABIS3000</t>
  </si>
  <si>
    <t>Insert one person\"s biomterics in ABIS</t>
  </si>
  <si>
    <t>SchemaValidator</t>
  </si>
  <si>
    <t>Pass</t>
  </si>
  <si>
    <t>ABIS3001</t>
  </si>
  <si>
    <t>Insert two person\"s biomterics in ABIS</t>
  </si>
  <si>
    <t>ABIS3002</t>
  </si>
  <si>
    <t>Invalid Insert request structure</t>
  </si>
  <si>
    <t>Invalid Insert request - request json structure is invalid</t>
  </si>
  <si>
    <t>SchemaValidator
ExpectedFailureReasonValidator</t>
  </si>
  <si>
    <t>ABIS3003</t>
  </si>
  <si>
    <t>Invalid Insert request - missing referenceId</t>
  </si>
  <si>
    <t>ABIS3005</t>
  </si>
  <si>
    <t>Unable to fetch biometric details using referenceURL</t>
  </si>
  <si>
    <t>ABIS3006</t>
  </si>
  <si>
    <t>Invalid Insert request - Invalid reference url</t>
  </si>
  <si>
    <t>ABIS3007</t>
  </si>
  <si>
    <t>Invalid Insert request - missing reference URL</t>
  </si>
  <si>
    <t>ABIS3008</t>
  </si>
  <si>
    <t>Invalid Insert request - missing request time</t>
  </si>
  <si>
    <t>ABIS3009</t>
  </si>
  <si>
    <t xml:space="preserve">Invalid Insert request - referenceId already exists </t>
  </si>
  <si>
    <t>Invalid Insert request - referenceId already exists</t>
  </si>
  <si>
    <t>ABIS3010</t>
  </si>
  <si>
    <t>Invalid Insert request - CBEFF has no data</t>
  </si>
  <si>
    <t>CBEFF has no data /No biometric available for deduplication</t>
  </si>
  <si>
    <t>ABIS3011</t>
  </si>
  <si>
    <t>Invalid Insert request - invalid version</t>
  </si>
  <si>
    <t>ABIS3012</t>
  </si>
  <si>
    <t>Invalid Insert request - invalid id</t>
  </si>
  <si>
    <t>ABIS3013</t>
  </si>
  <si>
    <t>Invalid Insert request - invalid request time format</t>
  </si>
  <si>
    <t>ABIS3014</t>
  </si>
  <si>
    <t>Invalid Insert request - invalid CBEFF format</t>
  </si>
  <si>
    <t>ABIS3015</t>
  </si>
  <si>
    <t>Invalid Insert request - data share URL has expired</t>
  </si>
  <si>
    <t>ABIS3016</t>
  </si>
  <si>
    <t>Invalid Insert request - invalid data</t>
  </si>
  <si>
    <t>ABIS3017</t>
  </si>
  <si>
    <t>Invalid Insert request - CBEFF data decryption failure</t>
  </si>
  <si>
    <t>N/A for mock</t>
  </si>
  <si>
    <t>ABIS3018</t>
  </si>
  <si>
    <t>Identify - duplicate found for the referenceId against gallery</t>
  </si>
  <si>
    <t>Insert same biometrics multiple times, then test if duplicate is found for the referenceId against gallery</t>
  </si>
  <si>
    <t>SchemaValidator
IdentifyDuplicateFoundValidator
ExpectedDuplicateCountValidator</t>
  </si>
  <si>
    <t>ABIS3019</t>
  </si>
  <si>
    <t>Invalid Identify request structure</t>
  </si>
  <si>
    <t>Invalid Identify request - request json structure is invalid</t>
  </si>
  <si>
    <t>ABIS3020</t>
  </si>
  <si>
    <t>Invalid Identify request - missing referenceId</t>
  </si>
  <si>
    <t>ABIS3022</t>
  </si>
  <si>
    <t>Invalid Identify request - missing request time</t>
  </si>
  <si>
    <t>ABIS3023</t>
  </si>
  <si>
    <t>Invalid Identify request - invalid version</t>
  </si>
  <si>
    <t>ABIS3024</t>
  </si>
  <si>
    <t>Invalid Identify request - invalid id</t>
  </si>
  <si>
    <t>ABIS3025</t>
  </si>
  <si>
    <t>Invalid Identify request - invalid request time format</t>
  </si>
  <si>
    <t>"SchemaValidator
ExpectedFailureReasonValidator"</t>
  </si>
  <si>
    <t>ABIS3026</t>
  </si>
  <si>
    <t>Identify - duplicate found for the referenceId (gallery skipped).
Clear the ABIS cache before running this testcase.</t>
  </si>
  <si>
    <t>Insert same biometrics twice, then test if duplicate is found for the referenceId, (gallery skipped)</t>
  </si>
  <si>
    <t>"SchemaValidator
IdentifyDuplicateFoundValidator
ExpectedDuplicateCountValidator"</t>
  </si>
  <si>
    <t>ABIS3027</t>
  </si>
  <si>
    <t>Identify - duplicate found for the referenceId against gallery - where referenceId's are inserted</t>
  </si>
  <si>
    <t>ABIS3028</t>
  </si>
  <si>
    <t>Identify - duplicate found for the referenceId against gallery - but the referenceId's are not inserted</t>
  </si>
  <si>
    <t>Insert biometrics once, then test if duplicate is found for the referenceId against gallery - but the referenceId's are not inserted</t>
  </si>
  <si>
    <t>ABIS3029</t>
  </si>
  <si>
    <t>Identify - duplicate not found for the referenceId against gallery</t>
  </si>
  <si>
    <t>SchemaValidator
ExpectedDuplicateCountValidator</t>
  </si>
  <si>
    <t>ABIS3030</t>
  </si>
  <si>
    <t>Verify if ABIS is not generating new tokens for every insert request</t>
  </si>
  <si>
    <t>SchemaValidator
ABISTokenValidator</t>
  </si>
  <si>
    <t>Auth-Iris</t>
  </si>
  <si>
    <t>Auth-Face</t>
  </si>
  <si>
    <t>Auth-FP</t>
  </si>
  <si>
    <t>Reg Iris</t>
  </si>
  <si>
    <t>Reg Face</t>
  </si>
  <si>
    <t>Reg FP</t>
  </si>
  <si>
    <t>Type</t>
  </si>
  <si>
    <t>STATUS</t>
  </si>
  <si>
    <t>Dev Comments</t>
  </si>
  <si>
    <t>Results 
(Reg Iris)</t>
  </si>
  <si>
    <t>Results 
(Reg Face)</t>
  </si>
  <si>
    <t>Results 
(Reg FP)</t>
  </si>
  <si>
    <t>Results 
(Auth FP)</t>
  </si>
  <si>
    <t>Results 
(Auth IRIS)</t>
  </si>
  <si>
    <t>Results 
(Auth Face)</t>
  </si>
  <si>
    <t>Results 
(Mock - Reg Iris)</t>
  </si>
  <si>
    <t>Results 
(Mock - Reg Face)</t>
  </si>
  <si>
    <t>Results 
(Mock - Reg FP)</t>
  </si>
  <si>
    <t>Results 
(Mock - Auth-FP)</t>
  </si>
  <si>
    <t>Results 
(Mock - Auth-Face)</t>
  </si>
  <si>
    <t>Results 
(Mock - Auth_IRIS)</t>
  </si>
  <si>
    <t>SBI1000</t>
  </si>
  <si>
    <t>Yes</t>
  </si>
  <si>
    <t>Discover device</t>
  </si>
  <si>
    <t>SchemaValidator
SignatureValidator</t>
  </si>
  <si>
    <t>Available</t>
  </si>
  <si>
    <t>SBI1001</t>
  </si>
  <si>
    <t>Device Info</t>
  </si>
  <si>
    <t>SBI1002</t>
  </si>
  <si>
    <t>No</t>
  </si>
  <si>
    <t>Registration capture - Left Slab</t>
  </si>
  <si>
    <t>Registration capture - Left Slap</t>
  </si>
  <si>
    <t>SchemaValidator
ResponseMismatchValidator
SignatureValidator</t>
  </si>
  <si>
    <t>ResponseMismatchValidator</t>
  </si>
  <si>
    <t>SBI1003</t>
  </si>
  <si>
    <t>Registration capture - Left Slab - One Exception</t>
  </si>
  <si>
    <t>Registration capture - Left Slap - One Exception</t>
  </si>
  <si>
    <t>SBI1004</t>
  </si>
  <si>
    <t>Registration capture - Right Slab</t>
  </si>
  <si>
    <t>Registration capture - Right Slap</t>
  </si>
  <si>
    <t>SBI1005</t>
  </si>
  <si>
    <t>Registration capture - Right Slab - Two Exception</t>
  </si>
  <si>
    <t>Registration capture - Right Slap - Two Exception</t>
  </si>
  <si>
    <t>SBI1006</t>
  </si>
  <si>
    <t>Registration capture - Two Thumbs</t>
  </si>
  <si>
    <t>SBI1007</t>
  </si>
  <si>
    <t>Registration capture - Two Thumbs - One Exception</t>
  </si>
  <si>
    <t>SBI1008</t>
  </si>
  <si>
    <t>Registration capture - Two Thumbs - Both Exception</t>
  </si>
  <si>
    <t>SBI1009</t>
  </si>
  <si>
    <t>Registration capture - Double Iris</t>
  </si>
  <si>
    <t>SBI1010</t>
  </si>
  <si>
    <t>Registration capture - Double Iris - One Exception</t>
  </si>
  <si>
    <t>SBI1011</t>
  </si>
  <si>
    <t>Registration capture - Double Iris - Both Exception</t>
  </si>
  <si>
    <t>SBI1012</t>
  </si>
  <si>
    <t>Registration capture - Face</t>
  </si>
  <si>
    <t>SchemaValidator
SignatureValidator
ResponseMismatchValidator</t>
  </si>
  <si>
    <t>SBI1013</t>
  </si>
  <si>
    <t>Registration capture - Exception Photo</t>
  </si>
  <si>
    <t>SBI1014</t>
  </si>
  <si>
    <t>Auth capture - Face</t>
  </si>
  <si>
    <t>SBI1015</t>
  </si>
  <si>
    <t>Auth capture - Single Iris - Unknown Iris</t>
  </si>
  <si>
    <t>SBI1016</t>
  </si>
  <si>
    <t>Auth capture - Single Iris - Left Iris</t>
  </si>
  <si>
    <t>SBI1017</t>
  </si>
  <si>
    <t>Auth capture - Single Iris - Right Iris</t>
  </si>
  <si>
    <t>SBI1018</t>
  </si>
  <si>
    <t>Auth capture - Unknown Finger</t>
  </si>
  <si>
    <t>SBI1019</t>
  </si>
  <si>
    <t>Auth capture -Two Unknown Finger</t>
  </si>
  <si>
    <t>Auth capture - Two Unknown Finger</t>
  </si>
  <si>
    <t>SBI1020</t>
  </si>
  <si>
    <t>Auth capture - LeftIndex Finger</t>
  </si>
  <si>
    <t>SBI1021</t>
  </si>
  <si>
    <t>Auth capture - Two Finger</t>
  </si>
  <si>
    <t>SBI1022</t>
  </si>
  <si>
    <t>Registration capture - Key Rotation - Left Slap</t>
  </si>
  <si>
    <t>KeyRotationValidator</t>
  </si>
  <si>
    <t>Key Rotation</t>
  </si>
  <si>
    <t>SBI1023</t>
  </si>
  <si>
    <t>Auth capture -Key Rotation - Single Iris - Left Iris</t>
  </si>
  <si>
    <t>Auth capture - Single Iris - Left Iris - Key Rotation</t>
  </si>
  <si>
    <t>SBI1024</t>
  </si>
  <si>
    <t>Auth capture - Key Rotation - LeftIndex Finger</t>
  </si>
  <si>
    <t>SBI1025</t>
  </si>
  <si>
    <t>Auth capture - Face - Key Rotation</t>
  </si>
  <si>
    <t>SBI1026</t>
  </si>
  <si>
    <t>Check Device Status - Ready</t>
  </si>
  <si>
    <t>SBI1027</t>
  </si>
  <si>
    <t>Check Device Status - Busy</t>
  </si>
  <si>
    <t>Device Status</t>
  </si>
  <si>
    <t>SBI1028</t>
  </si>
  <si>
    <t>Check Device Status - Not Ready</t>
  </si>
  <si>
    <t>SBI1029</t>
  </si>
  <si>
    <t>Check Device Status - Not Registered</t>
  </si>
  <si>
    <t>SBI1030</t>
  </si>
  <si>
    <t>Auth capture - Fingerprint - Bio Count Mismatch</t>
  </si>
  <si>
    <t>SBI1031</t>
  </si>
  <si>
    <t>Auth capture - Iris - Bio Count Mismatch</t>
  </si>
  <si>
    <t>SBI1032</t>
  </si>
  <si>
    <t>Auth capture - Face - Bio Count Mismatch</t>
  </si>
  <si>
    <t>SBI1033</t>
  </si>
  <si>
    <t>Registration capture - Left Slap - Bio Count Mismatch</t>
  </si>
  <si>
    <t>SBI1034</t>
  </si>
  <si>
    <t>Registration capture - Right Slap - Bio Count Mismatch</t>
  </si>
  <si>
    <t>SBI1035</t>
  </si>
  <si>
    <t>Registration capture - Two Thumbs - Bio Count Mismatch</t>
  </si>
  <si>
    <t>SBI1036</t>
  </si>
  <si>
    <t>Registration capture - Left iris - Bio Count Mismatch</t>
  </si>
  <si>
    <t>SBI1037</t>
  </si>
  <si>
    <t>Registration capture - Right Iris - Bio Count Mismatch</t>
  </si>
  <si>
    <t>SBI1038</t>
  </si>
  <si>
    <t>Registration capture - Both Iris - Bio Count Mismatch</t>
  </si>
  <si>
    <t>SBI1039</t>
  </si>
  <si>
    <t>Registration capture - Face - Bio Count Mismatch</t>
  </si>
  <si>
    <t>SBI1040</t>
  </si>
  <si>
    <t>Registration capture - Face - Timeout</t>
  </si>
  <si>
    <t>Registration capture - Face - Timeout (without any input)</t>
  </si>
  <si>
    <t>SchemaValidator
TimeoutValidator</t>
  </si>
  <si>
    <t>Timeout</t>
  </si>
  <si>
    <t>SBI1041</t>
  </si>
  <si>
    <t>Registration capture - Double Iris - Timeout</t>
  </si>
  <si>
    <t>Registration capture - Double Iris - Timeout (without any input)</t>
  </si>
  <si>
    <t>SBI1042</t>
  </si>
  <si>
    <t>Registration capture - Left Slap - Timeout</t>
  </si>
  <si>
    <t>Registration capture - Left Slap - Timeout (without any input)</t>
  </si>
  <si>
    <t>SBI1043</t>
  </si>
  <si>
    <t>Registration capture - Right Slap - Timeout</t>
  </si>
  <si>
    <t>Registration capture - Right Slap - Timeout (without any input)</t>
  </si>
  <si>
    <t>SBI1044</t>
  </si>
  <si>
    <t>Registration capture - Two Thumbs - Timeout</t>
  </si>
  <si>
    <t>Registration capture - Two Thumbs - Timeout (without any input)</t>
  </si>
  <si>
    <t>SBI1045</t>
  </si>
  <si>
    <t>Registration capture - Exception Photo - Timeout</t>
  </si>
  <si>
    <t>Registration capture - Exception Photo - Timeout (without any input)</t>
  </si>
  <si>
    <t>SBI1046</t>
  </si>
  <si>
    <t>Auth capture - Face - Timeout</t>
  </si>
  <si>
    <t>Auth capture - Face - Timeout (without any input)</t>
  </si>
  <si>
    <t>SBI1047</t>
  </si>
  <si>
    <t>Auth capture - Single Iris - Unknown Iris - Timeout</t>
  </si>
  <si>
    <t>Auth capture - Single Iris - Unknown Iris - Timeout (without any input)</t>
  </si>
  <si>
    <t>SBI1048</t>
  </si>
  <si>
    <t>Auth capture - Unknown Finger - Timeout</t>
  </si>
  <si>
    <t>Auth capture - Unknown Finger - Timeout (without any input)</t>
  </si>
  <si>
    <t>SBI1049</t>
  </si>
  <si>
    <t>Registration capture - Face - Force Capture</t>
  </si>
  <si>
    <t>Registration capture - Face - Timeout (with user input)</t>
  </si>
  <si>
    <t>SchemaValidator
TimeoutValidator
SignatureValidator</t>
  </si>
  <si>
    <t>Force Capture</t>
  </si>
  <si>
    <t>SBI1050</t>
  </si>
  <si>
    <t>Registration capture - Double Iris - Force Capture</t>
  </si>
  <si>
    <t>Registration capture - Double Iris - Timeout (with user input)</t>
  </si>
  <si>
    <t>SBI1051</t>
  </si>
  <si>
    <t>Registration capture - Left Slap - Force Capture</t>
  </si>
  <si>
    <t>Registration capture - Left Slap - Timeout (with user input)</t>
  </si>
  <si>
    <t>SBI1052</t>
  </si>
  <si>
    <t>Registration capture - Right Slap - Force Capture</t>
  </si>
  <si>
    <t>Registration capture - Right Slap - Timeout (with user input)</t>
  </si>
  <si>
    <t>SBI1053</t>
  </si>
  <si>
    <t>Registration capture - Two Thumbs - Force Capture</t>
  </si>
  <si>
    <t>Registration capture - Two Thumbs - Timeout (with user input)</t>
  </si>
  <si>
    <t>SBI1054</t>
  </si>
  <si>
    <t>Registration capture - Exception Photo - Force Capture</t>
  </si>
  <si>
    <t>Registration capture - Exception Photo - Timeout (with user input)</t>
  </si>
  <si>
    <t>SBI1055</t>
  </si>
  <si>
    <t>Auth capture - Face - Force Capture</t>
  </si>
  <si>
    <t>Auth capture - Face - Timeout (with user input)</t>
  </si>
  <si>
    <t>SBI1056</t>
  </si>
  <si>
    <t>Auth capture - Single Iris - Unknown Iris - Force Capture</t>
  </si>
  <si>
    <t>Auth capture - Single Iris - Unknown Iris - Timeout (with user input)</t>
  </si>
  <si>
    <t>SBI1057</t>
  </si>
  <si>
    <t>Auth capture - Unknown Finger - Force Capture</t>
  </si>
  <si>
    <t>Auth capture - Unknown Finger - Timeout (with user input)</t>
  </si>
  <si>
    <t>SBI1058</t>
  </si>
  <si>
    <t>Auth capture - 10 Fingers</t>
  </si>
  <si>
    <t>SBI1059</t>
  </si>
  <si>
    <t>Auth capture - 2 Iris</t>
  </si>
  <si>
    <t>ResponseMisMatchValidator</t>
  </si>
  <si>
    <t>SBI1060</t>
  </si>
  <si>
    <t>Registration capture - Key Rotation - Face</t>
  </si>
  <si>
    <t>KeyRotation</t>
  </si>
  <si>
    <t>SBI1061</t>
  </si>
  <si>
    <t>Registration capture - Key Rotation - Double Iris</t>
  </si>
  <si>
    <t>SBI1062</t>
  </si>
  <si>
    <t>Registration capture - Left Slap - ISO Standard Validations</t>
  </si>
  <si>
    <t>Registration capture - Left Slap - ISO Standard Validations (ISO19794-4:2011)</t>
  </si>
  <si>
    <t>SchemaValidator
ResponseMismatchValidator
SignatureValidator
ISOStandardsValidator</t>
  </si>
  <si>
    <t>ISOStandards</t>
  </si>
  <si>
    <t>SBI1063</t>
  </si>
  <si>
    <t>Registration capture - Right Slap - ISO Standard Validations</t>
  </si>
  <si>
    <t>Registration capture - Right Slap - ISO Standard Validations (ISO19794-4:2011)</t>
  </si>
  <si>
    <t>SBI1064</t>
  </si>
  <si>
    <t>Registration capture - Double Iris - ISO Standard Validations</t>
  </si>
  <si>
    <t>Registration capture - Double Iris - ISO Standard Validations (ISO19794-6:2011)</t>
  </si>
  <si>
    <t>SBI1065</t>
  </si>
  <si>
    <t>Registration capture - Face - ISO Standard Validations</t>
  </si>
  <si>
    <t>Registration capture - Face - ISO Standard Validations (ISO19794-5:2011)</t>
  </si>
  <si>
    <t>SBI1066</t>
  </si>
  <si>
    <t>Auth capture - Face - ISO Standard Validations</t>
  </si>
  <si>
    <t>Auth capture - Face - ISO Standard Validations (ISO19794-5:2011)</t>
  </si>
  <si>
    <t>SBI1067</t>
  </si>
  <si>
    <t>Auth capture - Single Iris - Left Iris - ISO Standard Validations</t>
  </si>
  <si>
    <t>Auth capture - Single Iris - Left Iris - ISO Standard Validations (ISO19794-6:2011)</t>
  </si>
  <si>
    <t>SBI1068</t>
  </si>
  <si>
    <t>Auth capture - Single Iris - Right Iris - ISO Standard Validations</t>
  </si>
  <si>
    <t>Auth capture - Single Iris - Right Iris - ISO Standard Validations (ISO19794-6:2011)</t>
  </si>
  <si>
    <t>SBI1069</t>
  </si>
  <si>
    <t>Auth capture - Unknown Finger - ISO Standard Validations</t>
  </si>
  <si>
    <t>Auth capture - Unknown Finger - ISO Standard Validations (ISO19794-4:2011)</t>
  </si>
  <si>
    <t>SBI1070</t>
  </si>
  <si>
    <t>Streaming test with Registration capture - Left Slap</t>
  </si>
  <si>
    <t>Streaming</t>
  </si>
  <si>
    <t>SBI1071</t>
  </si>
  <si>
    <t>Streaming test with Registration capture - Right Slap</t>
  </si>
  <si>
    <t>SBI1072</t>
  </si>
  <si>
    <t>Streaming test with Registration capture - Two Thumbs</t>
  </si>
  <si>
    <t>SBI1073</t>
  </si>
  <si>
    <t>Streaming test with Registration capture - Double Iris</t>
  </si>
  <si>
    <t>SBI1074</t>
  </si>
  <si>
    <t>Streaming test with Registration capture - Face</t>
  </si>
  <si>
    <t>SBI1075</t>
  </si>
  <si>
    <t>Biometrics Quality Check for Registration capture - Left Slap</t>
  </si>
  <si>
    <t>Biometrics Quality Check</t>
  </si>
  <si>
    <t>SBI1076</t>
  </si>
  <si>
    <t>Biometrics Quality Check for Registration capture - Right Slap</t>
  </si>
  <si>
    <t>SBI1077</t>
  </si>
  <si>
    <t>Biometrics Quality Check for Registration capture - Double Iris</t>
  </si>
  <si>
    <t>SchemaValidator
ResponseMismatchValidator
SignatureValidator
BiometricsQualityCheckValidator</t>
  </si>
  <si>
    <t>SBI1078</t>
  </si>
  <si>
    <t>Biometrics Quality Check for Registration capture - Face</t>
  </si>
  <si>
    <t>SBI1079</t>
  </si>
  <si>
    <t>Biometrics Quality Check for Auth capture - Face</t>
  </si>
  <si>
    <t>SBI1080</t>
  </si>
  <si>
    <t>Biometrics Quality Check for Auth capture - Single Iris - Left Iris</t>
  </si>
  <si>
    <t>SBI1081</t>
  </si>
  <si>
    <t>Biometrics Quality Check for Auth capture - Single Iris - Right Iris</t>
  </si>
  <si>
    <t>SBI1082</t>
  </si>
  <si>
    <t>Biometrics Quality Check for Auth capture - Unknown Finger</t>
  </si>
  <si>
    <t>SBI1083</t>
  </si>
  <si>
    <t>Time Check for Registration capture - Left Slap</t>
  </si>
  <si>
    <t>SchemaValidator
ResponseMismatchValidator
SignatureValidator
TimeCheckValidator</t>
  </si>
  <si>
    <t>Time stamp check</t>
  </si>
  <si>
    <t>SBI1084</t>
  </si>
  <si>
    <t>Time Check for Registration capture - Right Slap</t>
  </si>
  <si>
    <t>SBI1085</t>
  </si>
  <si>
    <t>Time Check for Registration capture - Double Iris</t>
  </si>
  <si>
    <t>SBI1086</t>
  </si>
  <si>
    <t>Time Check for Registration capture - Face</t>
  </si>
  <si>
    <t>SBI1087</t>
  </si>
  <si>
    <t>Time Check for Auth capture - Face</t>
  </si>
  <si>
    <t>SBI1088</t>
  </si>
  <si>
    <t>Time Check for Auth capture - Single Iris - Left Iris</t>
  </si>
  <si>
    <t>SBI1089</t>
  </si>
  <si>
    <t>Time Check for Auth capture - Single Iris - Right Iris</t>
  </si>
  <si>
    <t>SBI1090</t>
  </si>
  <si>
    <t>Time Check for Auth capture - Unknown Finger</t>
  </si>
  <si>
    <t>SBI1091</t>
  </si>
  <si>
    <t>Auth capture - Face - Invalid Transaction Id</t>
  </si>
  <si>
    <t>Invalid Transaction Id</t>
  </si>
  <si>
    <t>SBI1092</t>
  </si>
  <si>
    <t>Auth capture - Single Iris - Left Iris - Invalid Transaction Id</t>
  </si>
  <si>
    <t>SBI1093</t>
  </si>
  <si>
    <t>Auth capture - Unknown Finger - Invalid Transaction Id</t>
  </si>
  <si>
    <t>SBI1094</t>
  </si>
  <si>
    <t>Registration capture - Left Slap - Invalid Request Json (wrong attribute name envXXX)</t>
  </si>
  <si>
    <t>Invalid Request Json</t>
  </si>
  <si>
    <t>SBI1095</t>
  </si>
  <si>
    <t>Registration capture - Right Slap - Invalid Request Json (wrong attribute name timeoutXXX)</t>
  </si>
  <si>
    <t>SBI1096</t>
  </si>
  <si>
    <t>Registration capture - Two Thumbs - Invalid Request Json (wrong attribute name specVersionXXX)</t>
  </si>
  <si>
    <t>SBI1097</t>
  </si>
  <si>
    <t>Registration capture - Double Iris - Invalid Request Json (wrong attribute name purposeXXX)</t>
  </si>
  <si>
    <t>SBI1098</t>
  </si>
  <si>
    <t>Registration capture - Face - Invalid Request Json (wrong attribute name bioXXX)</t>
  </si>
  <si>
    <t>SBI1099</t>
  </si>
  <si>
    <t>Registration capture - Double Iris - One Exception - Invalid Request Json (wrong attribute name countXXX)</t>
  </si>
  <si>
    <t>SBI1100</t>
  </si>
  <si>
    <t>Registration capture - Exception Photo - Invalid Request Json (wrong attribute name deviceSubIdXXX)</t>
  </si>
  <si>
    <t>SBI1101</t>
  </si>
  <si>
    <t>Registration capture - Left Slap - Hash Validations</t>
  </si>
  <si>
    <t>SchemaValidator
ResponseMismatchValidator
SignatureValidator
HashValidator</t>
  </si>
  <si>
    <t>Hash Validations</t>
  </si>
  <si>
    <t>SBI1102</t>
  </si>
  <si>
    <t>Registration capture - Face - Hash Validations</t>
  </si>
  <si>
    <t>SBI1103</t>
  </si>
  <si>
    <t>Registration capture - Right Slap - Hash Validations</t>
  </si>
  <si>
    <t>SBI1104</t>
  </si>
  <si>
    <t>Registration capture - Double Iris- Hash Validations</t>
  </si>
  <si>
    <t>SBI1105</t>
  </si>
  <si>
    <t>Auth capture - Face - Hash Validations</t>
  </si>
  <si>
    <t>SBI1106</t>
  </si>
  <si>
    <t>Auth capture - Single Iris - Unknown Iris - Hash Validations</t>
  </si>
  <si>
    <t>SBI1107</t>
  </si>
  <si>
    <t>Auth capture - Unknown Finger - Hash Validations</t>
  </si>
  <si>
    <t>SBI1108</t>
  </si>
  <si>
    <t>Registration capture - Left Slap - Invalid Transaction Id</t>
  </si>
  <si>
    <t>Quality Assessment</t>
  </si>
  <si>
    <t>SBI1109</t>
  </si>
  <si>
    <t>Registration capture - Right Slap - Invalid Transaction Id</t>
  </si>
  <si>
    <t>SBI1110</t>
  </si>
  <si>
    <t>Registration capture - Double Iris - Invalid Transaction Id</t>
  </si>
  <si>
    <t>SBI1111</t>
  </si>
  <si>
    <t>Registration capture - Face - Invalid Transaction Id</t>
  </si>
  <si>
    <t>SBI1112</t>
  </si>
  <si>
    <t>Quality Assessment for Registration capture - Left Slap - Males - child(5-12) - 10 persons</t>
  </si>
  <si>
    <t xml:space="preserve">Quality Assessment Testcase to validate the biometrics captured by RCapture interface for left slap fingerprints for - Males - child(5-12) - 10 persons </t>
  </si>
  <si>
    <t>SBI1113</t>
  </si>
  <si>
    <t>Quality Assessment for Registration capture - Right Slap - Females - child(5-12) - 10 persons</t>
  </si>
  <si>
    <t>Quality Assessment Testcase to validate the biometrics captured by RCapture interface for right slap fingerprints for - Females - child(5-12) - 10 persons</t>
  </si>
  <si>
    <t>SBI1114</t>
  </si>
  <si>
    <t>Quality Assessment for Registration capture - Left Slap - Males - adult(12-40) - labourer - 10 persons</t>
  </si>
  <si>
    <t xml:space="preserve">Quality Assessment Testcase to validate the biometrics captured by RCapture interface for left slap fingerprints for - Males - adult(12-40) - labourer - 10 persons </t>
  </si>
  <si>
    <t>SBI1115</t>
  </si>
  <si>
    <t>Quality Assessment for Registration capture - Left Slap - Males - adult(12-40) - non labourer - 10 persons</t>
  </si>
  <si>
    <t xml:space="preserve">Quality Assessment Testcase to validate the biometrics captured by RCapture interface for left slap fingerprints for - Males - adult(12-40) - non labourer - 10 persons </t>
  </si>
  <si>
    <t>SBI1116</t>
  </si>
  <si>
    <t>Quality Assessment for Registration capture - Right Slap - Females - adult(12-40) - labourer - 10 persons</t>
  </si>
  <si>
    <t>Quality Assessment Testcase to validate the biometrics captured by RCapture interface for right slap fingerprints for - Females - adult(12-40) - labourer - 10 persons</t>
  </si>
  <si>
    <t>SBI1117</t>
  </si>
  <si>
    <t>Quality Assessment for Registration capture - Left Slap - Females - adult(12-40) - non labourer - 10 persons</t>
  </si>
  <si>
    <t xml:space="preserve">Quality Assessment Testcase to validate the biometrics captured by RCapture interface for left slap fingerprints for - Females - adult(12-40) - non labourer - 10 persons </t>
  </si>
  <si>
    <t>SBI1118</t>
  </si>
  <si>
    <t>Quality Assessment for Registration capture - Right Slap - Males - mature(40-59) - labourer - 10 persons</t>
  </si>
  <si>
    <t xml:space="preserve">Quality Assessment Testcase to validate the biometrics captured by RCapture interface for right slap fingerprints for - Males - mature(40-59) - labourer - 10 persons </t>
  </si>
  <si>
    <t>SBI1119</t>
  </si>
  <si>
    <t>Quality Assessment for Registration capture - Left Slap - Males - mature(40-59) - non labourer - 10 persons</t>
  </si>
  <si>
    <t xml:space="preserve">Quality Assessment Testcase to validate the biometrics captured by RCapture interface for left slap fingerprints for - Males - mature(40-59) - non labourer - 10 persons </t>
  </si>
  <si>
    <t>SBI1120</t>
  </si>
  <si>
    <t>Quality Assessment for Registration capture - Right Slap - Females - mature(40-59) - labourer - 10 persons</t>
  </si>
  <si>
    <t xml:space="preserve">Quality Assessment Testcase to validate the biometrics captured by RCapture interface for right slap fingerprints for - Females - mature(40-59) - labourer - 10 persons </t>
  </si>
  <si>
    <t>SBI1121</t>
  </si>
  <si>
    <t>Quality Assessment for Registration capture - Left Slap - Females - mature(40-59) - non labourer - 10 persons</t>
  </si>
  <si>
    <t>Quality Assessment Testcase to validate the biometrics captured by RCapture interface for left slap fingerprints for - Females - mature(40-59) - non labourer - 10 persons</t>
  </si>
  <si>
    <t>SBI1122</t>
  </si>
  <si>
    <t>Quality Assessment for Registration capture - Right Slap - Males - senior(60+) - labourer - 10 persons</t>
  </si>
  <si>
    <t xml:space="preserve">Quality Assessment Testcase to validate the biometrics captured by RCapture interface for right slap fingerprints for - Males - senior(60+) - labourer - 10 persons </t>
  </si>
  <si>
    <t>SBI1123</t>
  </si>
  <si>
    <t>Quality Assessment for Registration capture - Left Slap - Males - senior(60+) - non labourer - 10 persons</t>
  </si>
  <si>
    <t>Quality Assessment Testcase to validate the biometrics captured by RCapture interface for left slap fingerprints for - Males - senior(60+) - non labourer - 10 persons</t>
  </si>
  <si>
    <t>SBI1124</t>
  </si>
  <si>
    <t>Quality Assessment for Registration capture - Right Slap - Females - senior(60+) - labourer - 10 persons</t>
  </si>
  <si>
    <t xml:space="preserve">Quality Assessment Testcase to validate the biometrics captured by RCapture interface for right slap fingerprints for - Females - senior(60+) - labourer - 10 persons </t>
  </si>
  <si>
    <t>SBI1125</t>
  </si>
  <si>
    <t>Quality Assessment for Registration capture - Right Slap - Females - senior(60+) - non labourer - 10 persons</t>
  </si>
  <si>
    <t xml:space="preserve">Quality Assessment Testcase to validate the biometrics captured by RCapture interface for right slap fingerprints for - Females - senior(60+) - non labourer - 10 persons </t>
  </si>
  <si>
    <t>SBI1126</t>
  </si>
  <si>
    <t>Quality Assessment for Registration capture - Face - Males - child(5-12) - african - 10 persons</t>
  </si>
  <si>
    <t xml:space="preserve">Quality Assessment Testcase to validate the biometrics captured by RCapture interface for face for - Males - child(5-12) - african - 10 persons </t>
  </si>
  <si>
    <t>SBI1127</t>
  </si>
  <si>
    <t>Quality Assessment for Registration capture - Face - Females - child(5-12) - african - 10 persons</t>
  </si>
  <si>
    <t>Quality Assessment Testcase to validate the biometrics captured by RCapture interface for face for - Females - child(5-12) - african - 10 persons</t>
  </si>
  <si>
    <t>SBI1128</t>
  </si>
  <si>
    <t>Quality Assessment for Registration capture - Face - Males - child(5-12) - european - 10 persons</t>
  </si>
  <si>
    <t>Quality Assessment Testcase to validate the biometrics captured by RCapture interface for face for - Males - child(5-12) - european - 10 persons</t>
  </si>
  <si>
    <t>SBI1129</t>
  </si>
  <si>
    <t>Quality Assessment for Registration capture - Face - Females - child(5-12) - european - 10 persons</t>
  </si>
  <si>
    <t>Quality Assessment Testcase to validate the biometrics captured by RCapture interface for face for - Females - child(5-12) - european - 10 persons</t>
  </si>
  <si>
    <t>SBI1130</t>
  </si>
  <si>
    <t>Quality Assessment for Registration capture - Face - Males - child(5-12) - asian - 10 persons</t>
  </si>
  <si>
    <t xml:space="preserve">Quality Assessment Testcase to validate the biometrics captured by RCapture interface for face for - Males - child(5-12) - asian - 10 persons </t>
  </si>
  <si>
    <t>SBI1131</t>
  </si>
  <si>
    <t>Quality Assessment for Registration capture - Face - Females - child(5-12) - asian - 10 persons</t>
  </si>
  <si>
    <t>Quality Assessment Testcase to validate the biometrics captured by RCapture interface for face for - Females - child(5-12) - asian - 10 persons</t>
  </si>
  <si>
    <t>SBI1132</t>
  </si>
  <si>
    <t>Quality Assessment for Registration capture - Face - Males - adult(12-40) - african - 10 persons</t>
  </si>
  <si>
    <t>Quality Assessment Testcase to validate the biometrics captured by RCapture interface for face for - Males - adult(12-40) - african - 10 persons</t>
  </si>
  <si>
    <t>SBI1133</t>
  </si>
  <si>
    <t>Quality Assessment for Registration capture - Face - Females - adult(12-40) - african - 10 persons</t>
  </si>
  <si>
    <t xml:space="preserve">Quality Assessment Testcase to validate the biometrics captured by RCapture interface for face for - Females - adult(12-40) - african - 10 persons </t>
  </si>
  <si>
    <t>SBI1134</t>
  </si>
  <si>
    <t>Quality Assessment for Registration capture - Face - Males - adult(12-40) - european - 10 persons</t>
  </si>
  <si>
    <t>Quality Assessment Testcase to validate the biometrics captured by RCapture interface for face for - Males - adult(12-40) - european - 10 persons</t>
  </si>
  <si>
    <t>SBI1135</t>
  </si>
  <si>
    <t>Quality Assessment for Registration capture - Face - Females - adult(12-40) - european - 10 persons</t>
  </si>
  <si>
    <t>Quality Assessment Testcase to validate the biometrics captured by RCapture interface for face for - Females - adult(12-40) - european - 10 persons</t>
  </si>
  <si>
    <t>SBI1136</t>
  </si>
  <si>
    <t>Quality Assessment for Registration capture - Face - Males - adult(12-40) - asian - 10 persons</t>
  </si>
  <si>
    <t>Quality Assessment Testcase to validate the biometrics captured by RCapture interface for face for - Males - adult(12-40) - asian - 10 persons</t>
  </si>
  <si>
    <t>SBI1137</t>
  </si>
  <si>
    <t>Quality Assessment for Registration capture - Face - Females - adult(12-40) - asian - 10 persons</t>
  </si>
  <si>
    <t xml:space="preserve">Quality Assessment Testcase to validate the biometrics captured by RCapture interface for face for - Females - adult(12-40) - asian - 10 persons </t>
  </si>
  <si>
    <t>SBI1138</t>
  </si>
  <si>
    <t>Quality Assessment for Registration capture - Face - Males - mature(40-59) - african - 10 persons</t>
  </si>
  <si>
    <t xml:space="preserve">Quality Assessment Testcase to validate the biometrics captured by RCapture interface for face for - Males - mature(40-59) - african - 10 persons </t>
  </si>
  <si>
    <t>SBI1139</t>
  </si>
  <si>
    <t>Quality Assessment for Registration capture - Face - Females - mature(40-59) - african - 10 persons</t>
  </si>
  <si>
    <t xml:space="preserve">Quality Assessment Testcase to validate the biometrics captured by RCapture interface for face for - Females - mature(40-59) - african - 10 persons </t>
  </si>
  <si>
    <t>SBI1140</t>
  </si>
  <si>
    <t>Quality Assessment for Registration capture - Face - Males - mature(40-59) - european - 10 persons</t>
  </si>
  <si>
    <t xml:space="preserve">Quality Assessment Testcase to validate the biometrics captured by RCapture interface for face for - Males - mature(40-59) - european - 10 persons </t>
  </si>
  <si>
    <t>SBI1141</t>
  </si>
  <si>
    <t>Quality Assessment for Registration capture - Face - Females - mature(40-59) - european - 10 persons</t>
  </si>
  <si>
    <t xml:space="preserve">Quality Assessment Testcase to validate the biometrics captured by RCapture interface for face for - Females - mature(40-59) - european - 10 persons </t>
  </si>
  <si>
    <t>SBI1142</t>
  </si>
  <si>
    <t>Quality Assessment for Registration capture - Face - Males - mature(40-59) - asian - 10 persons</t>
  </si>
  <si>
    <t xml:space="preserve">Quality Assessment Testcase to validate the biometrics captured by RCapture interface for face for - Males - mature(40-59) - asian - 10 persons </t>
  </si>
  <si>
    <t>SBI1143</t>
  </si>
  <si>
    <t>Quality Assessment for Registration capture - Face - Females - mature(40-59) - asian - 10 persons</t>
  </si>
  <si>
    <t xml:space="preserve">Quality Assessment Testcase to validate the biometrics captured by RCapture interface for face for - Females - mature(40-59) - asian - 10 persons </t>
  </si>
  <si>
    <t>SBI1144</t>
  </si>
  <si>
    <t>Quality Assessment for Registration capture - Face - Males - senior(60+) - african - 10 persons</t>
  </si>
  <si>
    <t xml:space="preserve">Quality Assessment Testcase to validate the biometrics captured by RCapture interface for face for - Males - senior(60+) - african - 10 persons </t>
  </si>
  <si>
    <t>SBI1145</t>
  </si>
  <si>
    <t>Quality Assessment for Registration capture - Face - Females - senior(60+) - african - 10 persons</t>
  </si>
  <si>
    <t xml:space="preserve">Quality Assessment Testcase to validate the biometrics captured by RCapture interface for face for - Females - senior(60+) - african - 10 persons </t>
  </si>
  <si>
    <t>SBI1146</t>
  </si>
  <si>
    <t>Quality Assessment for Registration capture - Face - Males - senior(60+) - european - 10 persons</t>
  </si>
  <si>
    <t xml:space="preserve">Quality Assessment Testcase to validate the biometrics captured by RCapture interface for face for - Males - senior(60+) - european - 10 persons </t>
  </si>
  <si>
    <t>SBI1147</t>
  </si>
  <si>
    <t>Quality Assessment for Registration capture - Face - Females - senior(60+) - european - 10 persons</t>
  </si>
  <si>
    <t xml:space="preserve">Quality Assessment Testcase to validate the biometrics captured by RCapture interface for face for - Females - senior(60+) - european - 10 persons </t>
  </si>
  <si>
    <t>SBI1148</t>
  </si>
  <si>
    <t>Quality Assessment for Registration capture - Face - Males - senior(60+) - asian - 10 persons</t>
  </si>
  <si>
    <t xml:space="preserve">Quality Assessment Testcase to validate the biometrics captured by RCapture interface for face for - Males - senior(60+) - asian - 10 persons </t>
  </si>
  <si>
    <t>SBI1149</t>
  </si>
  <si>
    <t>Quality Assessment for Registration capture - Face - Females - senior(60+) - asian - 10 persons</t>
  </si>
  <si>
    <t>Quality Assessment Testcase to validate the biometrics captured by RCapture interface for face for - Females - senior(60+) - asian - 10 persons</t>
  </si>
  <si>
    <t>SBI1150</t>
  </si>
  <si>
    <t>Quality Assessment for Registration capture - Double Iris - child(5-12) - 10 persons</t>
  </si>
  <si>
    <t>Quality Assessment Testcase to validate the biometrics captured by RCapture interface for Two Iris for - child(5-12) - 10 persons</t>
  </si>
  <si>
    <t>SBI1151</t>
  </si>
  <si>
    <t>Quality Assessment for Registration capture - Double Iris - adult(12-40) - 10 persons</t>
  </si>
  <si>
    <t>Quality Assessment Testcase to validate the biometrics captured by RCapture interface for Two Iris for - adult(12-40) - 10 persons</t>
  </si>
  <si>
    <t>SBI1152</t>
  </si>
  <si>
    <t>Quality Assessment for Registration capture - Double Iris - mature(40-59) - 10 persons</t>
  </si>
  <si>
    <t xml:space="preserve">Quality Assessment Testcase to validate the biometrics captured by RCapture interface for Two Iris for - mature(40-59) - 10 persons </t>
  </si>
  <si>
    <t>SBI1153</t>
  </si>
  <si>
    <t>Quality Assessment for Registration capture - Double Iris - senior(60+) - 10 persons</t>
  </si>
  <si>
    <t xml:space="preserve">Quality Assessment Testcase to validate the biometrics captured by RCapture interface for Two Iris for - senior(60+) - 10 persons </t>
  </si>
  <si>
    <t>SBI1154</t>
  </si>
  <si>
    <t>Quality Assessment for Auth capture - Unknown Finger - Males - child(5-12) - 10 persons</t>
  </si>
  <si>
    <t xml:space="preserve">Quality Assessment Testcase to validate the biometrics captured by Capture method for finger for - Males - child(5-12) - 10 persons </t>
  </si>
  <si>
    <t>SBI1155</t>
  </si>
  <si>
    <t>Quality Assessment for Auth capture - Unknown Finger - Females - child(5-12) - 10 persons</t>
  </si>
  <si>
    <t xml:space="preserve">Quality Assessment Testcase to validate the biometrics captured by Capture method for finger for - Females - child(5-12) - 10 persons </t>
  </si>
  <si>
    <t>SBI1156</t>
  </si>
  <si>
    <t>Quality Assessment for Auth capture - Unknown Finger - Males - adult(12-40) - labourer - 10 persons</t>
  </si>
  <si>
    <t xml:space="preserve">Quality Assessment Testcase to validate the biometrics captured by Capture method for finger for - Males - adult(12-40) - labourer - 10 persons </t>
  </si>
  <si>
    <t>SBI1157</t>
  </si>
  <si>
    <t>Quality Assessment for Auth capture - Unknown Finger - Males - adult(12-40) - non labourer - 10 persons</t>
  </si>
  <si>
    <t>Quality Assessment Testcase to validate the biometrics captured by Capture method for finger for - Males - adult(12-40) - non labourer - 10 persons.</t>
  </si>
  <si>
    <t>SBI1158</t>
  </si>
  <si>
    <t>Quality Assessment for Auth capture - Unknown Finger - Females - adult(12-40) - labourer - 10 persons</t>
  </si>
  <si>
    <t>Quality Assessment Testcase to validate the biometrics captured by Capture method for finger for - Females - adult(12-40) - labourer - 10 persons .</t>
  </si>
  <si>
    <t>SBI1159</t>
  </si>
  <si>
    <t>Quality Assessment for Auth capture - Unknown Finger - Females - adult(12-40) - non labourer - 10 persons</t>
  </si>
  <si>
    <t>Quality Assessment Testcase to validate the biometrics captured by Capture method for finger for - Females - adult(12-40) - non labourer - 10 persons</t>
  </si>
  <si>
    <t>SBI1160</t>
  </si>
  <si>
    <t>Quality Assessment for Auth capture - Unknown Finger - Males - mature(40-59) - labourer - 10 persons</t>
  </si>
  <si>
    <t>Quality Assessment Testcase to validate the biometrics captured by Capture method for finger for - Males - mature(40-59) - labourer - 10 persons</t>
  </si>
  <si>
    <t>SBI1161</t>
  </si>
  <si>
    <t>Quality Assessment for Auth capture - Unknown Finger - Males - mature(40-59) - non labourer - 10 persons</t>
  </si>
  <si>
    <t>Quality Assessment Testcase to validate the biometrics captured by Capture method for finger for - Males - mature(40-59) - non labourer - 10 persons.</t>
  </si>
  <si>
    <t>SBI1162</t>
  </si>
  <si>
    <t>Quality Assessment for Auth capture - Unknown Finger - Females - mature(40-59) - labourer - 10 persons</t>
  </si>
  <si>
    <t>Quality Assessment Testcase to validate the biometrics captured by Capture method for finger for - Females - mature(40-59) - labourer - 10 persons.</t>
  </si>
  <si>
    <t>SBI1163</t>
  </si>
  <si>
    <t>Quality Assessment for Auth capture - Unknown Finger - Females - mature(40-59) - non labourer - 10 persons</t>
  </si>
  <si>
    <t>Quality Assessment Testcase to validate the biometrics captured by Capture method for finger for - Females - mature(40-59) - non labourer - 10 persons</t>
  </si>
  <si>
    <t>SBI1164</t>
  </si>
  <si>
    <t>Quality Assessment for Auth capture - Unknown Finger - Males - senior(60+) - labourer - 10 persons</t>
  </si>
  <si>
    <t>Quality Assessment Testcase to validate the biometrics captured by Capture method for finger for - Males - senior(60+) - labourer - 10 persons</t>
  </si>
  <si>
    <t>SBI1165</t>
  </si>
  <si>
    <t>Quality Assessment for Auth capture - Unknown Finger - Males - senior(60+) - non labourer - 10 persons</t>
  </si>
  <si>
    <t>Quality Assessment Testcase to validate the biometrics captured by Capture method for finger for - Males - senior(60+) - non labourer - 10 persons.</t>
  </si>
  <si>
    <t>SBI1166</t>
  </si>
  <si>
    <t>Quality Assessment for Auth capture - Unknown Finger - Females - senior(60+) - labourer - 10 persons</t>
  </si>
  <si>
    <t>Quality Assessment Testcase to validate the biometrics captured by Capture method for finger for - Females - senior(60+) - labourer - 10 persons.</t>
  </si>
  <si>
    <t>SBI1167</t>
  </si>
  <si>
    <t>Quality Assessment for Auth capture - Unknown Finger - Females - senior(60+) - non labourer - 10 persons</t>
  </si>
  <si>
    <t>Quality Assessment Testcase to validate the biometrics captured by Capture method for finger for - Females - senior(60+) - non labourer - 10 persons.</t>
  </si>
  <si>
    <t>SBI1168</t>
  </si>
  <si>
    <t>Quality Assessment for Auth capture - Face - Males - child(5-12) - african - 10 persons</t>
  </si>
  <si>
    <t>Quality Assessment Testcase to validate the biometrics captured by Capture method for face for - Males - child(5-12) - african - 10 persons.</t>
  </si>
  <si>
    <t>SBI1169</t>
  </si>
  <si>
    <t>Quality Assessment for Auth capture - Face - Females - child(5-12) - african - 10 persons</t>
  </si>
  <si>
    <t>Quality Assessment Testcase to validate the biometrics captured by Capture method for face for - Females - child(5-12) - african - 10 persons.</t>
  </si>
  <si>
    <t>SBI1170</t>
  </si>
  <si>
    <t>Quality Assessment for Auth capture - Face - Males - child(5-12) - european - 10 persons</t>
  </si>
  <si>
    <t>Quality Assessment Testcase to validate the biometrics captured by Capture method for face for - Males - child(5-12) - european - 10 persons.</t>
  </si>
  <si>
    <t>SBI1171</t>
  </si>
  <si>
    <t>Quality Assessment for Auth capture - Face - Females - child(5-12) - european - 10 persons</t>
  </si>
  <si>
    <t>Quality Assessment Testcase to validate the biometrics captured by Capture method for face for - Females - child(5-12) - european - 10 persons.</t>
  </si>
  <si>
    <t>SBI1172</t>
  </si>
  <si>
    <t>Quality Assessment for Auth capture - Face - Males - child(5-12) - asian - 10 persons</t>
  </si>
  <si>
    <t>Quality Assessment Testcase to validate the biometrics captured by Capture method for face for - Males - child(5-12) - asian - 10 persons.</t>
  </si>
  <si>
    <t>SBI1173</t>
  </si>
  <si>
    <t>Quality Assessment for Auth capture - Face - Females - child(5-12) - asian - 10 persons</t>
  </si>
  <si>
    <t>Quality Assessment Testcase to validate the biometrics captured by Capture method for face for - Females - child(5-12) - asian - 10 persons.</t>
  </si>
  <si>
    <t>SBI1174</t>
  </si>
  <si>
    <t>Quality Assessment for Auth capture - Face - Males - adult(12-40) - african - 10 persons</t>
  </si>
  <si>
    <t>Quality Assessment Testcase to validate the biometrics captured by Capture method for face for - Males - adult(12-40) - african - 10 persons.</t>
  </si>
  <si>
    <t>SBI1175</t>
  </si>
  <si>
    <t>Quality Assessment for Auth capture - Face - Females - adult(12-40) - african - 10 persons</t>
  </si>
  <si>
    <t>Quality Assessment Testcase to validate the biometrics captured by Capture method for face for - Females - adult(12-40) - african - 10 persons.</t>
  </si>
  <si>
    <t>SBI1176</t>
  </si>
  <si>
    <t>Quality Assessment for Auth capture - Face - Males - adult(12-40) - european - 10 persons</t>
  </si>
  <si>
    <t>Quality Assessment Testcase to validate the biometrics captured by Capture method for face for - Males - adult(12-40) - european - 10 persons</t>
  </si>
  <si>
    <t>SBI1177</t>
  </si>
  <si>
    <t>Quality Assessment for Auth capture - Face - Females - adult(12-40) - european - 10 persons</t>
  </si>
  <si>
    <t>Quality Assessment Testcase to validate the biometrics captured by Capture method for face for - Females - adult(12-40) - european - 10 persons.</t>
  </si>
  <si>
    <t>SBI1178</t>
  </si>
  <si>
    <t>Quality Assessment for Auth capture - Face - Males - adult(12-40) - asian - 10 persons</t>
  </si>
  <si>
    <t>Quality Assessment Testcase to validate the biometrics captured by Capture method for face for - Males - adult(12-40) - asian - 10 persons.</t>
  </si>
  <si>
    <t>SBI1179</t>
  </si>
  <si>
    <t>Quality Assessment for Auth capture - Face - Females - adult(12-40) - asian - 10 persons</t>
  </si>
  <si>
    <t>Quality Assessment Testcase to validate the biometrics captured by Capture method for face for - Females - adult(12-40) - asian - 10 persons.</t>
  </si>
  <si>
    <t>SBI1180</t>
  </si>
  <si>
    <t>Quality Assessment for Auth capture - Face - Males - mature(40-59) - african - 10 persons</t>
  </si>
  <si>
    <t>Quality Assessment Testcase to validate the biometrics captured by Capture method for face for - Males - mature(40-59) - african - 10 persons.</t>
  </si>
  <si>
    <t>SBI1181</t>
  </si>
  <si>
    <t>Quality Assessment for Auth capture - Face - Females - mature(40-59) - african - 10 persons</t>
  </si>
  <si>
    <t>Quality Assessment Testcase to validate the biometrics captured by Capture method for face for - Females - mature(40-59) - african - 10 persons.</t>
  </si>
  <si>
    <t>SBI1182</t>
  </si>
  <si>
    <t>Quality Assessment for Auth capture - Face - Males - mature(40-59) - european - 10 persons</t>
  </si>
  <si>
    <t>Quality Assessment Testcase to validate the biometrics captured by Capture method for face for - Males - mature(40-59) - european - 10 persons.</t>
  </si>
  <si>
    <t>SBI1183</t>
  </si>
  <si>
    <t>Quality Assessment for Auth capture - Face - Females - mature(40-59) - european - 10 persons</t>
  </si>
  <si>
    <t>Quality Assessment Testcase to validate the biometrics captured by Capture method for face for - Females - mature(40-59) - european - 10 persons.</t>
  </si>
  <si>
    <t>SBI1184</t>
  </si>
  <si>
    <t>Quality Assessment for Auth capture - Face - Males - mature(40-59) - asian - 10 persons</t>
  </si>
  <si>
    <t>Quality Assessment Testcase to validate the biometrics captured by Capture method for face for - Males - mature(40-59) - asian - 10 persons.</t>
  </si>
  <si>
    <t>SBI1185</t>
  </si>
  <si>
    <t>Quality Assessment for Auth capture - Face - Females - mature(40-59) - asian - 10 persons</t>
  </si>
  <si>
    <t>Quality Assessment Testcase to validate the biometrics captured by Capture method for face for - Females - mature(40-59) - asian - 10 persons.</t>
  </si>
  <si>
    <t>SBI1186</t>
  </si>
  <si>
    <t>Quality Assessment for Auth capture - Face - Males - senior(60+) - african - 10 persons</t>
  </si>
  <si>
    <t>Quality Assessment Testcase to validate the biometrics captured by Capture method for face for - Males - senior(60+) - african - 10 persons.</t>
  </si>
  <si>
    <t>SBI1187</t>
  </si>
  <si>
    <t>Quality Assessment for Auth capture - Face - Females - senior(60+) - african - 10 persons</t>
  </si>
  <si>
    <t>Quality Assessment Testcase to validate the biometrics captured by Capture method for face for - Females - senior(60+) - african - 10 persons.</t>
  </si>
  <si>
    <t>SBI1188</t>
  </si>
  <si>
    <t>Quality Assessment for Auth capture - Face - Males - senior(60+) - european - 10 persons</t>
  </si>
  <si>
    <t>Quality Assessment Testcase to validate the biometrics captured by Capture method for face for - Males - senior(60+) - european - 10 persons.</t>
  </si>
  <si>
    <t>SBI1189</t>
  </si>
  <si>
    <t>Quality Assessment for Auth capture - Face - Females - senior(60+) - european - 10 persons</t>
  </si>
  <si>
    <t>Quality Assessment Testcase to validate the biometrics captured by Capture method for face for - Females - senior(60+) - european - 10 persons.</t>
  </si>
  <si>
    <t>SBI1190</t>
  </si>
  <si>
    <t>Quality Assessment for Auth capture - Face - Males - senior(60+) - asian - 10 persons</t>
  </si>
  <si>
    <t>Quality Assessment Testcase to validate the biometrics captured by Capture method for face for - Males - senior(60+) - asian - 10 persons.</t>
  </si>
  <si>
    <t>SBI1191</t>
  </si>
  <si>
    <t>Quality Assessment for Auth capture - Face - Females - senior(60+) - asian - 10 persons</t>
  </si>
  <si>
    <t>Quality Assessment Testcase to validate the biometrics captured by Capture method for face for - Females - senior(60+) - asian - 10 persons</t>
  </si>
  <si>
    <t>SBI1192</t>
  </si>
  <si>
    <t>Quality Assessment for Auth capture - Single Iris - Left Iris - child(5-12) - 10 persons</t>
  </si>
  <si>
    <t>Quality Assessment Testcase to validate the biometrics captured by Capture method for left iris for - child(5-12) - 10 persons.</t>
  </si>
  <si>
    <t>SBI1193</t>
  </si>
  <si>
    <t>Quality Assessment for Auth capture - Single Iris - Right Iris - adult(12-40) - 10 persons</t>
  </si>
  <si>
    <t>Quality Assessment Testcase to validate the biometrics captured by Capture method for right iris for - adult(12-40) - 10 persons.</t>
  </si>
  <si>
    <t>SBI1194</t>
  </si>
  <si>
    <t>Quality Assessment for Auth capture - Single Iris - Left Iris - mature(40-59) - 10 persons</t>
  </si>
  <si>
    <t>Quality Assessment Testcase to validate the biometrics captured by Capture method for left iris for - mature(40-59) - 10 persons.</t>
  </si>
  <si>
    <t>SBI1195</t>
  </si>
  <si>
    <t>Quality Assessment for Auth capture - Single Iris - Right Iris - senior(60+) - 10 persons</t>
  </si>
  <si>
    <t>Quality Assessment Testcase to validate the biometrics captured by Capture method for right iris for - senior(60+) - 10 persons.</t>
  </si>
  <si>
    <t>SBI1196</t>
  </si>
  <si>
    <t>Discover device - Invalid Biometric Types</t>
  </si>
  <si>
    <t>Test to perform validation for the device discovery interface with invalid request</t>
  </si>
  <si>
    <t>without bioSubTypes</t>
  </si>
  <si>
    <t>SBI1197</t>
  </si>
  <si>
    <t>Registration capture - Left Slap - without bioSubTypes</t>
  </si>
  <si>
    <t>Test to validate the RCapture interface for Left Slap Fingerprints without bioSubTypes</t>
  </si>
  <si>
    <t>SBI1198</t>
  </si>
  <si>
    <t>Registration capture - Double Iris - without bioSubTypes</t>
  </si>
  <si>
    <t>Test to validate RCapture interface for Two Iris without bioSubTypes</t>
  </si>
  <si>
    <t>SBI1199</t>
  </si>
  <si>
    <t>Registration capture - Face - without bioSubTypes</t>
  </si>
  <si>
    <t>Test to validate RCapture interface for face without bioSubTypes</t>
  </si>
  <si>
    <t>Synthetic testdata possible?</t>
  </si>
  <si>
    <t>Real SDK
(Tech5)</t>
  </si>
  <si>
    <t>Mock SDK</t>
  </si>
  <si>
    <t>Real SDK
(NPrime)</t>
  </si>
  <si>
    <t>SDK2000</t>
  </si>
  <si>
    <t>Init Test</t>
  </si>
  <si>
    <t>Initialise Bio SDK Services</t>
  </si>
  <si>
    <t>SDK2001</t>
  </si>
  <si>
    <t>Good face quality</t>
  </si>
  <si>
    <t>1. This testcase checks the biomterics for face to be of good quality.&lt;br&gt;2. Add the appropriate probe.xml</t>
  </si>
  <si>
    <t>SchemaValidator
 QualityCheckValidator</t>
  </si>
  <si>
    <t>SDK2002</t>
  </si>
  <si>
    <t>Bad face quality</t>
  </si>
  <si>
    <t>SDK2003</t>
  </si>
  <si>
    <t>Invalid face data for quality check</t>
  </si>
  <si>
    <t>SchemaValidator
 QualityCheckInvalidDataValidator</t>
  </si>
  <si>
    <t>SDK2004</t>
  </si>
  <si>
    <t>No face data for quality check</t>
  </si>
  <si>
    <t>SchemaValidator
 QualityCheckNoDataValidator</t>
  </si>
  <si>
    <t>SDK2005</t>
  </si>
  <si>
    <t>Bad finger quality</t>
  </si>
  <si>
    <t>SDK2006</t>
  </si>
  <si>
    <t>Good finger quality</t>
  </si>
  <si>
    <t>SDK2007</t>
  </si>
  <si>
    <t>Invalid finger data for quality check</t>
  </si>
  <si>
    <t>SDK2008</t>
  </si>
  <si>
    <t>No finger data for quality check</t>
  </si>
  <si>
    <t>SDK2009</t>
  </si>
  <si>
    <t>Bad iris quality</t>
  </si>
  <si>
    <t>Not Available</t>
  </si>
  <si>
    <t>SDK2010</t>
  </si>
  <si>
    <t>Good iris quality</t>
  </si>
  <si>
    <t>SDK2011</t>
  </si>
  <si>
    <t>Invalid iris data for quality check</t>
  </si>
  <si>
    <t>SDK2012</t>
  </si>
  <si>
    <t>No iris data for quality check</t>
  </si>
  <si>
    <t>SDK2013</t>
  </si>
  <si>
    <t>Multi modality (face &amp; finger) quality check success</t>
  </si>
  <si>
    <t>modality quality check success</t>
  </si>
  <si>
    <t>SDK2014</t>
  </si>
  <si>
    <t>Multi modality (Face,Finger,Iris) quality check success</t>
  </si>
  <si>
    <t>SDK2015</t>
  </si>
  <si>
    <t>Face match failure</t>
  </si>
  <si>
    <t>SchemaValidator
 MatchValidator</t>
  </si>
  <si>
    <t>SDK2016</t>
  </si>
  <si>
    <t>Face match success</t>
  </si>
  <si>
    <t>SDK2017</t>
  </si>
  <si>
    <t>Invalid face data for match</t>
  </si>
  <si>
    <t>SchemaValidator
 MatchInvalidDataValidator</t>
  </si>
  <si>
    <t>SDK2018</t>
  </si>
  <si>
    <t>No face data for match</t>
  </si>
  <si>
    <t>SchemaValidator
 MatchNoDataValidator</t>
  </si>
  <si>
    <t>SDK2019</t>
  </si>
  <si>
    <t>Face match against more than one face</t>
  </si>
  <si>
    <t>SDK2020</t>
  </si>
  <si>
    <t>Sending finger data instead of face</t>
  </si>
  <si>
    <t>SDK2021</t>
  </si>
  <si>
    <t>Finger match failure</t>
  </si>
  <si>
    <t>SDK2022</t>
  </si>
  <si>
    <t>Finger match success</t>
  </si>
  <si>
    <t>SDK2023</t>
  </si>
  <si>
    <t>Invalid finger data for match</t>
  </si>
  <si>
    <t>SDK2024</t>
  </si>
  <si>
    <t>No finger data for match</t>
  </si>
  <si>
    <t>SDK2025</t>
  </si>
  <si>
    <t>Finger match against more than 10 fingers</t>
  </si>
  <si>
    <t>SDK2027</t>
  </si>
  <si>
    <t>Sending face data instead of finger</t>
  </si>
  <si>
    <t>SDK2028</t>
  </si>
  <si>
    <t>Iris match failure</t>
  </si>
  <si>
    <t>SDK2029</t>
  </si>
  <si>
    <t>Iris match success</t>
  </si>
  <si>
    <t>SDK2030</t>
  </si>
  <si>
    <t>Invalid iris data for match</t>
  </si>
  <si>
    <t>SDK2031</t>
  </si>
  <si>
    <t>No iris data for match</t>
  </si>
  <si>
    <t>SDK2032</t>
  </si>
  <si>
    <t>Iris match against more than 2 iris</t>
  </si>
  <si>
    <t>SDK2034</t>
  </si>
  <si>
    <t>Sending face data instead of iris</t>
  </si>
  <si>
    <t>SDK2035</t>
  </si>
  <si>
    <t>Multi modality (Face,Finger) match success</t>
  </si>
  <si>
    <t>modality match success</t>
  </si>
  <si>
    <t>SDK2036</t>
  </si>
  <si>
    <t>Multi modality (Face,Finger,Iris) match success</t>
  </si>
  <si>
    <t>Multi modality match success</t>
  </si>
  <si>
    <t>SDK2037</t>
  </si>
  <si>
    <t>Multi modality (Face,Finger,Iris) match success - multi gallery</t>
  </si>
  <si>
    <t>Multi modality match success - multi gallery</t>
  </si>
  <si>
    <t>SDK2038</t>
  </si>
  <si>
    <t>Finger Extract Template And Check Quality Success</t>
  </si>
  <si>
    <t>Finger extract Template And CheckQuality Success</t>
  </si>
  <si>
    <t>SchemaValidator
 ExtractTemplateValidator
 SchemaValidator
 QualityCheckValidator</t>
  </si>
  <si>
    <t>SDK2039</t>
  </si>
  <si>
    <t>Face Extract Template And Check Quality Success</t>
  </si>
  <si>
    <t>Face extract Template And CheckQuality Success</t>
  </si>
  <si>
    <t>SDK2040</t>
  </si>
  <si>
    <t>Iris Extract Template And Check Quality Success</t>
  </si>
  <si>
    <t>Iris extract Template And CheckQuality Success</t>
  </si>
  <si>
    <t>SDK2041</t>
  </si>
  <si>
    <t>Finger Extract Template And Check Quality Fail</t>
  </si>
  <si>
    <t>Finger extract Template And CheckQuality Fail</t>
  </si>
  <si>
    <t>SDK2042</t>
  </si>
  <si>
    <t>Face Extract Template And Check Quality Fail</t>
  </si>
  <si>
    <t>Face extract Template And CheckQuality Fail</t>
  </si>
  <si>
    <t>SDK2043</t>
  </si>
  <si>
    <t>Iris Extract Template And Check Quality Fail</t>
  </si>
  <si>
    <t>Iris extract Template And CheckQuality Fail</t>
  </si>
  <si>
    <t>SDK2044</t>
  </si>
  <si>
    <t>Finger extract invalid data failure</t>
  </si>
  <si>
    <t>SchemaValidator
 ExtractTemplateInvalidDataValidator</t>
  </si>
  <si>
    <t>SDK2045</t>
  </si>
  <si>
    <t>Face extract invalid data failure</t>
  </si>
  <si>
    <t>SDK2046</t>
  </si>
  <si>
    <t>Iris extract invalid data failure</t>
  </si>
  <si>
    <t>SDK2047</t>
  </si>
  <si>
    <t>Finger extract no input failure</t>
  </si>
  <si>
    <t>SchemaValidator
 ExtractTemplateNoInputDataValidator</t>
  </si>
  <si>
    <t>SDK2048</t>
  </si>
  <si>
    <t>Face extract no input failure</t>
  </si>
  <si>
    <t>SDK2049</t>
  </si>
  <si>
    <t>Iris extract no input failure</t>
  </si>
  <si>
    <t>SDK2050</t>
  </si>
  <si>
    <t>Finger Extract Template And Match FMR Success</t>
  </si>
  <si>
    <t>Finger Extract And Match FMR Success</t>
  </si>
  <si>
    <t>SchemaValidator
 ExtractTemplateValidator
 SchemaValidator
 MatchValidator</t>
  </si>
  <si>
    <t>SDK2051</t>
  </si>
  <si>
    <t>Face Extract Template And Match FMR Success</t>
  </si>
  <si>
    <t>Face Extract And Match FMR Success</t>
  </si>
  <si>
    <t>SDK2052</t>
  </si>
  <si>
    <t>Iris Extract Template And Match FMR Success</t>
  </si>
  <si>
    <t>Iris Extract And Match FMR Success</t>
  </si>
  <si>
    <t>SDK2053</t>
  </si>
  <si>
    <t>Finger Extract Template And Match FMR Fail</t>
  </si>
  <si>
    <t>Finger Extract And Match FMR Fail</t>
  </si>
  <si>
    <t>SDK2054</t>
  </si>
  <si>
    <t>Face Extract Template And Match FMR Fail</t>
  </si>
  <si>
    <t>Face Extract And Match FMR Fail</t>
  </si>
  <si>
    <t>SDK2055</t>
  </si>
  <si>
    <t>Iris Extract Template And Match FMR Fail</t>
  </si>
  <si>
    <t>Iris Extract And Match FMR Fail</t>
  </si>
  <si>
    <t>SDK2065</t>
  </si>
  <si>
    <t>Face convert from ISO19794_5_2011 to IMAGE/JPEG</t>
  </si>
  <si>
    <t>SchemaValidator
 ConvertDataValidator</t>
  </si>
  <si>
    <t>SDK2066</t>
  </si>
  <si>
    <t>Face convert from ISO19794_5_2011 to IMAGE/PNG</t>
  </si>
  <si>
    <t>SDK2067</t>
  </si>
  <si>
    <t>Face convert invalid data failure</t>
  </si>
  <si>
    <t>SchemaValidator
 ConvertInvalidDataValidator</t>
  </si>
  <si>
    <t>SDK2068</t>
  </si>
  <si>
    <t>Face convert no input failure</t>
  </si>
  <si>
    <t>SchemaValidator
 ConvertNoInputDataValidator</t>
  </si>
  <si>
    <t>SDK2069</t>
  </si>
  <si>
    <t>Finger convert from ISO19794_4_2011 to IMAGE/JPEG</t>
  </si>
  <si>
    <t>SDK2070</t>
  </si>
  <si>
    <t>Finger convert from ISO19794_4_2011 to IMAGE/PNG</t>
  </si>
  <si>
    <t>SDK2071</t>
  </si>
  <si>
    <t>Finger convert invalid data failure</t>
  </si>
  <si>
    <t>SDK2072</t>
  </si>
  <si>
    <t>Finger convert no input failure</t>
  </si>
  <si>
    <t>SDK2073</t>
  </si>
  <si>
    <t>Iris convert from ISO19794_6_2011 to IMAGE/PNG</t>
  </si>
  <si>
    <t>SDK2074</t>
  </si>
  <si>
    <t>Iris convert invalid data failure</t>
  </si>
  <si>
    <t>SDK2075</t>
  </si>
  <si>
    <t>Iris convert no input failure</t>
  </si>
  <si>
    <t>.</t>
  </si>
  <si>
    <t>Android</t>
  </si>
  <si>
    <t>This testcase will perform device discovery for the selected device.</t>
  </si>
  <si>
    <t>This testcase will validate the device info for the selected device including trust validation.</t>
  </si>
  <si>
    <t>This testcase is to check if Registration Capture for Left Slap from the device is valid or not.</t>
  </si>
  <si>
    <t xml:space="preserve">
ResponseMismatchValidator newly added
available in 1.0.0-b2</t>
  </si>
  <si>
    <t>1. This testcase is to check if Registration Capture for Left Slap from the device is valid or not.&lt;br&gt; 2. Please place your left slap &lt;b&gt;except left ring finger&lt;/b&gt; on the device.</t>
  </si>
  <si>
    <t>Valid Registration capture Request for Slap scanner type</t>
  </si>
  <si>
    <t>Valid Registration capture Request for slap device type with right slap except right ring finger and right little finger</t>
  </si>
  <si>
    <t>Valid Registration capture Request for slap device type with two thumbs except left thumb finger</t>
  </si>
  <si>
    <t>Valid Registration capture Request for slap device type with two thumbs except right thumb finger and left thumb finger</t>
  </si>
  <si>
    <t>Valid Registration capture Request</t>
  </si>
  <si>
    <t>Valid Registration capture Request for Double iris device type except left iris</t>
  </si>
  <si>
    <t>Valid Registration capture Request for Double iris device type except left iris and right iris</t>
  </si>
  <si>
    <t>Valid Registration capture Request only for Face</t>
  </si>
  <si>
    <t>Valid Registration capture Request for Face device type exception value left little finger or any will give Exception photo</t>
  </si>
  <si>
    <t>Valid Auth capture Request only for Face</t>
  </si>
  <si>
    <t>Valid Auth capture Request for Unknown iris</t>
  </si>
  <si>
    <t>Valid Auth capture Request for Left iris</t>
  </si>
  <si>
    <t>Valid Auth capture Request for Right iris</t>
  </si>
  <si>
    <t>Valid Auth capture Request for Unknown Finger</t>
  </si>
  <si>
    <t>Valid Auth capture Request for Two Unknown Finger</t>
  </si>
  <si>
    <t>Valid Auth capture Request for LeftIndex Finger</t>
  </si>
  <si>
    <t>Valid Auth capture Request for Two Finger</t>
  </si>
  <si>
    <t>Test for device key rotation</t>
  </si>
  <si>
    <t>Test to validate Device Info interface for a device that is in Ready state</t>
  </si>
  <si>
    <t>Test to validate if the device is in Busy state</t>
  </si>
  <si>
    <t>Test to validate if the device is in Not Ready state</t>
  </si>
  <si>
    <t>Test to validate if the device is in Not Registered state</t>
  </si>
  <si>
    <t>Test to validate bio count mismatch for auth fingerprint device</t>
  </si>
  <si>
    <t>Test to validate bio count mismatch for auth iris device</t>
  </si>
  <si>
    <t>Test to validate bio count mismatch for face</t>
  </si>
  <si>
    <t>Test to validate bio count mismatch for registration left slap</t>
  </si>
  <si>
    <t>Test to validate bio count mismatch for registration right slap</t>
  </si>
  <si>
    <t>Test to validate bio count mismatch for registration thumbs</t>
  </si>
  <si>
    <t>Test to validate bio count mismatch for registration left iris</t>
  </si>
  <si>
    <t>Test to validate bio count mismatch for registration right iris</t>
  </si>
  <si>
    <t>Test to validate bio count mismatch for registration both iris</t>
  </si>
  <si>
    <t>Test to validate bio count mismatch for registration face</t>
  </si>
  <si>
    <t>Test to validate face timeout</t>
  </si>
  <si>
    <t>Test to validate iris timeout</t>
  </si>
  <si>
    <t>Test to validate left slap timeout</t>
  </si>
  <si>
    <t>Test to validate right slap timeout</t>
  </si>
  <si>
    <t>Test to validate thumb timeout</t>
  </si>
  <si>
    <t>Test to validate exception photo timeout</t>
  </si>
  <si>
    <t>Test to validate finger timeout</t>
  </si>
  <si>
    <t>Force Capture validation for registration capture request for face</t>
  </si>
  <si>
    <t>Force Capture validation for registration capture request for double iris</t>
  </si>
  <si>
    <t>Force Capture validation for registration capture request for Left Slap</t>
  </si>
  <si>
    <t>Force Capture validation for registration capture request for Right Slap</t>
  </si>
  <si>
    <t>Force Capture validation for registration capture request for Two Thumbs</t>
  </si>
  <si>
    <t>Force Capture validation for Face device type exception value left little finger or any will give Exception photo</t>
  </si>
  <si>
    <t>Force Capture validation for Auth capture Request only for Face</t>
  </si>
  <si>
    <t>Force Capture validation for Auth capture Request for Unknown iris</t>
  </si>
  <si>
    <t>Force Capture validation for Auth capture Request for Unknown Finger</t>
  </si>
  <si>
    <t>Test to perform Auth capture for 10 Fingers</t>
  </si>
  <si>
    <t>Test to perform Auth capture for 2 Iris</t>
  </si>
  <si>
    <t>Test to validate the RCapture interface for Left Slap Fingerprints</t>
  </si>
  <si>
    <t>Test to validate RCapture interface for Right Slap Fingerprints</t>
  </si>
  <si>
    <t>Test to validate RCapture interface for Two Iris</t>
  </si>
  <si>
    <t>Test to validate RCapture interface for face</t>
  </si>
  <si>
    <t>Test to validate Capture interface for face</t>
  </si>
  <si>
    <t>Test to validate Capture interface for left iris</t>
  </si>
  <si>
    <t>Test to validate Capture interface for right iris</t>
  </si>
  <si>
    <t>Test to validate Capture interface for a finger</t>
  </si>
  <si>
    <t>Streaming Test to validate the RCapture interface for Left Slap Fingerprints</t>
  </si>
  <si>
    <t>Streaming Test to validate the RCapture interface for Right Slap Fingerprints</t>
  </si>
  <si>
    <t>Streaming Test to validate the RCapture interface for Two Thumbs</t>
  </si>
  <si>
    <t>Streaming Test to validate the RCapture interface for Two Iris</t>
  </si>
  <si>
    <t>Streaming Test to validate the RCapture interface for face</t>
  </si>
  <si>
    <t>Quality Check Test to validate the biometrics captured by RCapture interface for left slap fingerprints</t>
  </si>
  <si>
    <t>Quality Check Test to validate the biometrics captured by RCapture interface for right slap fingerprints</t>
  </si>
  <si>
    <t>Quality Check Test to validate the biometrics captured by RCapture interface for both iris</t>
  </si>
  <si>
    <t>Quality Check Test to validate the biometrics captured by RCapture interface for face</t>
  </si>
  <si>
    <t>Quality Check Test to validate the biometrics captured by Capture interface for face</t>
  </si>
  <si>
    <t>Quality Check Test to validate the biometrics captured by Capture interface for left iris</t>
  </si>
  <si>
    <t>Quality Check Test to validate the biometrics captured by Capture interface for right iris</t>
  </si>
  <si>
    <t>Quality Check Test to validate the biometrics captured by Capture interface for a finger</t>
  </si>
  <si>
    <t>Test to validate the timestamp captured by RCapture interface for left slap fingerprints</t>
  </si>
  <si>
    <t>Test to validate the timestamp captured by RCapture interface for right slap fingerprints</t>
  </si>
  <si>
    <t>Test to validate the timestamp captured by RCapture interface for both iris</t>
  </si>
  <si>
    <t>Test to validate the timestamp captured by RCapture interface for face</t>
  </si>
  <si>
    <t>Test to validate the timestamp captured by Capture interface for face</t>
  </si>
  <si>
    <t>Test to validate the timestamp captured by Capture interface for left iris</t>
  </si>
  <si>
    <t>Test to validate the timestamp captured by Capture interface for right iris</t>
  </si>
  <si>
    <t>Test to validate the timestamp captured by Capture interface for a finger</t>
  </si>
  <si>
    <t>Test to validate transactionId of Capture method for face</t>
  </si>
  <si>
    <t>Test to validate transactionId of Capture method for left iris</t>
  </si>
  <si>
    <t>Test to validate transactionId of Capture method for a finger</t>
  </si>
  <si>
    <t>Test to validate invalid request json in RCapture method for Left Slap Fingerprints</t>
  </si>
  <si>
    <t>Test to validate invalid request json in RCapture method for Right Slap Fingerprints</t>
  </si>
  <si>
    <t>Test to validate invalid request json in RCapture method for Two Thumbs</t>
  </si>
  <si>
    <t>Test to validate invalid request json in RCapture method for Two Iris</t>
  </si>
  <si>
    <t>Test to validate invalid request json in RCapture method for face</t>
  </si>
  <si>
    <t>Test to validate invalid request json in RCapture method for iris with one missing iris</t>
  </si>
  <si>
    <t>Test to validate invalid request json in RCapture method for exception photo</t>
  </si>
  <si>
    <t>Test to validate Capture method for face</t>
  </si>
  <si>
    <t>Test to validate Capture method for a single iris</t>
  </si>
  <si>
    <t>Test to validate Capture method for a finger</t>
  </si>
  <si>
    <t>Test to validate transactionId of RCapture method for Left Slap Fingerprints</t>
  </si>
  <si>
    <t xml:space="preserve"> Invalid Transaction Id</t>
  </si>
  <si>
    <t>Test to validate transactionId of RCapture method for Right Slap Fingerprint</t>
  </si>
  <si>
    <t>Test to validate transactionId of RCapture method for Two Iris</t>
  </si>
  <si>
    <t>Test to validate transactionId of RCapture method for face</t>
  </si>
  <si>
    <t>Invalid Biometric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</si>
</sst>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sz val="11"/>
      <color theme="1"/>
      <name val="Arial"/>
    </font>
    <font>
      <b/>
      <sz val="13"/>
      <color theme="1"/>
      <name val="Verdana"/>
    </font>
    <font>
      <sz val="11"/>
      <name val="Calibri"/>
    </font>
    <font>
      <b/>
      <sz val="12"/>
      <color theme="1"/>
      <name val="Calibri"/>
    </font>
    <font>
      <b/>
      <sz val="11"/>
      <color theme="1"/>
      <name val="Arial"/>
    </font>
    <font>
      <b/>
      <sz val="9"/>
      <color rgb="FFFFFFFF"/>
      <name val="Arial"/>
    </font>
    <font>
      <i/>
      <sz val="9"/>
      <color theme="1"/>
      <name val="Arial"/>
    </font>
    <font>
      <sz val="9"/>
      <color theme="1"/>
      <name val="Arial"/>
    </font>
    <font>
      <i/>
      <sz val="9"/>
      <color rgb="FF6AA84F"/>
      <name val="Arial"/>
    </font>
    <font>
      <sz val="9"/>
      <color rgb="FF6AA84F"/>
      <name val="Arial"/>
    </font>
    <font>
      <i/>
      <sz val="9"/>
      <color rgb="FFFF0000"/>
      <name val="Arial"/>
    </font>
    <font>
      <sz val="9"/>
      <color rgb="FFFF0000"/>
      <name val="Arial"/>
    </font>
    <font>
      <i/>
      <sz val="9"/>
      <color rgb="FFFF9900"/>
      <name val="Arial"/>
    </font>
    <font>
      <sz val="9"/>
      <color rgb="FFFF9900"/>
      <name val="Arial"/>
    </font>
    <font>
      <i/>
      <sz val="9"/>
      <color rgb="FF999999"/>
      <name val="Arial"/>
    </font>
    <font>
      <sz val="9"/>
      <color rgb="FF999999"/>
      <name val="Arial"/>
    </font>
    <font>
      <b/>
      <i/>
      <sz val="11"/>
      <color theme="1"/>
      <name val="Calibri"/>
    </font>
    <font>
      <sz val="11"/>
      <color theme="1"/>
      <name val="Calibri"/>
    </font>
    <font>
      <b/>
      <sz val="8"/>
      <color rgb="FFFFFFFF"/>
      <name val="Arial"/>
    </font>
    <font>
      <b/>
      <u/>
      <sz val="11"/>
      <color theme="1"/>
      <name val="Calibri"/>
    </font>
    <font>
      <i/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theme="1"/>
      <name val="Calibri"/>
    </font>
    <font>
      <b/>
      <u/>
      <sz val="9"/>
      <color rgb="FFFFFFFF"/>
      <name val="Arial"/>
    </font>
    <font>
      <sz val="9"/>
      <color rgb="FFFFFFFF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Calibri"/>
    </font>
    <font>
      <sz val="9"/>
      <color theme="1"/>
      <name val="Calibri"/>
    </font>
    <font>
      <i/>
      <u/>
      <sz val="11"/>
      <color theme="1"/>
      <name val="Calibri, Arial"/>
    </font>
    <font>
      <b/>
      <u/>
      <sz val="11"/>
      <color theme="1"/>
      <name val="Calibri, Arial"/>
    </font>
    <font>
      <u/>
      <sz val="11"/>
      <color theme="1"/>
      <name val="Calibri, Arial"/>
    </font>
    <font>
      <b/>
      <i/>
      <u/>
      <sz val="11"/>
      <color rgb="FF000000"/>
      <name val="Arial"/>
    </font>
    <font>
      <i/>
      <u/>
      <sz val="11"/>
      <color rgb="FF000000"/>
      <name val="Arial"/>
    </font>
    <font>
      <b/>
      <i/>
      <u/>
      <sz val="11"/>
      <color rgb="FF000000"/>
      <name val="Calibri, Arial"/>
    </font>
    <font>
      <i/>
      <u/>
      <sz val="11"/>
      <color rgb="FF000000"/>
      <name val="Calibri, Arial"/>
    </font>
    <font>
      <b/>
      <u/>
      <sz val="11"/>
      <color rgb="FF000000"/>
      <name val="Calibri, Arial"/>
    </font>
    <font>
      <u/>
      <sz val="11"/>
      <color rgb="FF000000"/>
      <name val="Calibri, Arial"/>
    </font>
  </fonts>
  <fills count="1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073763"/>
        <bgColor rgb="FF073763"/>
      </patternFill>
    </fill>
    <fill>
      <patternFill patternType="solid">
        <fgColor rgb="FF274E13"/>
        <bgColor rgb="FF274E13"/>
      </patternFill>
    </fill>
    <fill>
      <patternFill patternType="solid">
        <fgColor rgb="FF999999"/>
        <bgColor rgb="FF999999"/>
      </patternFill>
    </fill>
    <fill>
      <patternFill patternType="solid">
        <fgColor rgb="FF3D85C6"/>
        <bgColor rgb="FF3D85C6"/>
      </patternFill>
    </fill>
    <fill>
      <patternFill patternType="solid">
        <fgColor rgb="FFCCCCCC"/>
        <bgColor rgb="FFCCCCCC"/>
      </patternFill>
    </fill>
  </fills>
  <borders count="20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vertical="top"/>
    </xf>
    <xf numFmtId="0" fontId="6" fillId="6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right"/>
    </xf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10" fillId="0" borderId="7" xfId="0" applyFont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right"/>
    </xf>
    <xf numFmtId="0" fontId="12" fillId="7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7" xfId="0" applyFont="1" applyBorder="1" applyAlignment="1">
      <alignment horizontal="right"/>
    </xf>
    <xf numFmtId="0" fontId="14" fillId="7" borderId="7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5" fillId="0" borderId="7" xfId="0" applyFont="1" applyBorder="1" applyAlignment="1">
      <alignment horizontal="right"/>
    </xf>
    <xf numFmtId="0" fontId="16" fillId="7" borderId="7" xfId="0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" fontId="18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15" fillId="0" borderId="12" xfId="0" applyFont="1" applyBorder="1" applyAlignment="1">
      <alignment horizontal="right"/>
    </xf>
    <xf numFmtId="0" fontId="1" fillId="0" borderId="14" xfId="0" applyFont="1" applyBorder="1"/>
    <xf numFmtId="0" fontId="19" fillId="2" borderId="14" xfId="0" applyFont="1" applyFill="1" applyBorder="1" applyAlignment="1">
      <alignment horizontal="center"/>
    </xf>
    <xf numFmtId="0" fontId="7" fillId="0" borderId="14" xfId="0" applyFont="1" applyBorder="1" applyAlignment="1">
      <alignment horizontal="right"/>
    </xf>
    <xf numFmtId="0" fontId="8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10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right"/>
    </xf>
    <xf numFmtId="0" fontId="12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right"/>
    </xf>
    <xf numFmtId="0" fontId="14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right"/>
    </xf>
    <xf numFmtId="0" fontId="16" fillId="0" borderId="14" xfId="0" applyFont="1" applyBorder="1" applyAlignment="1">
      <alignment horizontal="center"/>
    </xf>
    <xf numFmtId="0" fontId="1" fillId="0" borderId="15" xfId="0" applyFont="1" applyBorder="1"/>
    <xf numFmtId="1" fontId="21" fillId="0" borderId="0" xfId="0" applyNumberFormat="1" applyFont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1" fontId="17" fillId="0" borderId="18" xfId="0" applyNumberFormat="1" applyFont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1" fontId="21" fillId="0" borderId="18" xfId="0" applyNumberFormat="1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22" fillId="9" borderId="14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vertical="center" wrapText="1"/>
    </xf>
    <xf numFmtId="0" fontId="22" fillId="9" borderId="10" xfId="0" applyFont="1" applyFill="1" applyBorder="1" applyAlignment="1">
      <alignment wrapText="1"/>
    </xf>
    <xf numFmtId="0" fontId="22" fillId="9" borderId="14" xfId="0" applyFont="1" applyFill="1" applyBorder="1" applyAlignment="1">
      <alignment horizont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18" fillId="0" borderId="7" xfId="0" applyFont="1" applyBorder="1" applyAlignment="1">
      <alignment wrapText="1"/>
    </xf>
    <xf numFmtId="0" fontId="23" fillId="10" borderId="14" xfId="0" applyFont="1" applyFill="1" applyBorder="1" applyAlignment="1">
      <alignment horizontal="center" wrapText="1"/>
    </xf>
    <xf numFmtId="0" fontId="1" fillId="11" borderId="14" xfId="0" applyFont="1" applyFill="1" applyBorder="1" applyAlignment="1">
      <alignment horizontal="center" vertical="center"/>
    </xf>
    <xf numFmtId="0" fontId="18" fillId="0" borderId="7" xfId="0" applyFont="1" applyBorder="1"/>
    <xf numFmtId="0" fontId="18" fillId="0" borderId="14" xfId="0" applyFont="1" applyBorder="1" applyAlignment="1">
      <alignment vertical="center" wrapText="1"/>
    </xf>
    <xf numFmtId="0" fontId="18" fillId="0" borderId="14" xfId="0" applyFont="1" applyBorder="1" applyAlignment="1">
      <alignment wrapText="1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5" fillId="9" borderId="14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left" vertical="center" wrapText="1"/>
    </xf>
    <xf numFmtId="0" fontId="19" fillId="9" borderId="14" xfId="0" applyFont="1" applyFill="1" applyBorder="1" applyAlignment="1">
      <alignment horizontal="center"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right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0" fontId="26" fillId="10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vertical="center"/>
    </xf>
    <xf numFmtId="0" fontId="8" fillId="7" borderId="14" xfId="0" applyFont="1" applyFill="1" applyBorder="1" applyAlignment="1">
      <alignment vertical="center" wrapText="1"/>
    </xf>
    <xf numFmtId="0" fontId="18" fillId="0" borderId="14" xfId="0" applyFont="1" applyBorder="1" applyAlignment="1">
      <alignment vertical="center"/>
    </xf>
    <xf numFmtId="0" fontId="18" fillId="7" borderId="14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0" fontId="22" fillId="9" borderId="14" xfId="0" applyFont="1" applyFill="1" applyBorder="1" applyAlignment="1">
      <alignment horizontal="left" vertical="center" wrapText="1"/>
    </xf>
    <xf numFmtId="0" fontId="22" fillId="9" borderId="1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12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11" borderId="7" xfId="0" applyFont="1" applyFill="1" applyBorder="1" applyAlignment="1">
      <alignment horizontal="left" vertical="center" wrapText="1"/>
    </xf>
    <xf numFmtId="0" fontId="23" fillId="10" borderId="7" xfId="0" applyFont="1" applyFill="1" applyBorder="1" applyAlignment="1">
      <alignment horizontal="left" vertical="center" wrapText="1"/>
    </xf>
    <xf numFmtId="0" fontId="29" fillId="9" borderId="14" xfId="0" applyFont="1" applyFill="1" applyBorder="1" applyAlignment="1">
      <alignment horizontal="left" vertical="center" wrapText="1"/>
    </xf>
    <xf numFmtId="0" fontId="22" fillId="12" borderId="14" xfId="0" applyFont="1" applyFill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7" borderId="14" xfId="0" applyFont="1" applyFill="1" applyBorder="1" applyAlignment="1">
      <alignment horizontal="left" vertical="center" wrapText="1"/>
    </xf>
    <xf numFmtId="0" fontId="18" fillId="11" borderId="14" xfId="0" applyFont="1" applyFill="1" applyBorder="1" applyAlignment="1">
      <alignment horizontal="left" vertical="center" wrapText="1"/>
    </xf>
    <xf numFmtId="0" fontId="23" fillId="10" borderId="14" xfId="0" applyFont="1" applyFill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/>
    </xf>
    <xf numFmtId="0" fontId="30" fillId="7" borderId="0" xfId="0" applyFont="1" applyFill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7" borderId="7" xfId="0" applyFont="1" applyFill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18" fillId="0" borderId="14" xfId="0" applyFont="1" applyBorder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27" fillId="7" borderId="14" xfId="0" applyFont="1" applyFill="1" applyBorder="1" applyAlignment="1">
      <alignment horizontal="left" vertical="center" wrapText="1"/>
    </xf>
    <xf numFmtId="0" fontId="27" fillId="7" borderId="14" xfId="0" applyFont="1" applyFill="1" applyBorder="1" applyAlignment="1">
      <alignment horizontal="left"/>
    </xf>
    <xf numFmtId="0" fontId="18" fillId="7" borderId="0" xfId="0" applyFont="1" applyFill="1" applyAlignment="1">
      <alignment horizontal="left" vertical="center" wrapText="1"/>
    </xf>
    <xf numFmtId="0" fontId="2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35" fillId="5" borderId="0" xfId="0" applyFont="1" applyFill="1" applyAlignment="1">
      <alignment vertical="top" wrapText="1"/>
    </xf>
    <xf numFmtId="0" fontId="6" fillId="6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6" fillId="5" borderId="0" xfId="0" applyFont="1" applyFill="1" applyAlignment="1">
      <alignment vertical="top" wrapText="1"/>
    </xf>
    <xf numFmtId="0" fontId="38" fillId="5" borderId="0" xfId="0" applyFont="1" applyFill="1" applyAlignment="1">
      <alignment vertical="top" wrapText="1"/>
    </xf>
    <xf numFmtId="0" fontId="20" fillId="5" borderId="0" xfId="0" applyFont="1" applyFill="1" applyAlignment="1">
      <alignment vertical="top"/>
    </xf>
    <xf numFmtId="0" fontId="5" fillId="0" borderId="13" xfId="0" applyFont="1" applyBorder="1" applyAlignment="1">
      <alignment horizontal="center"/>
    </xf>
    <xf numFmtId="0" fontId="19" fillId="8" borderId="8" xfId="0" applyFont="1" applyFill="1" applyBorder="1" applyAlignment="1">
      <alignment horizontal="center"/>
    </xf>
    <xf numFmtId="0" fontId="3" fillId="0" borderId="6" xfId="0" applyFont="1" applyBorder="1" applyAlignment="1"/>
    <xf numFmtId="0" fontId="3" fillId="0" borderId="7" xfId="0" applyFont="1" applyBorder="1" applyAlignment="1"/>
    <xf numFmtId="0" fontId="0" fillId="0" borderId="0" xfId="0" applyAlignment="1"/>
    <xf numFmtId="0" fontId="3" fillId="0" borderId="5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3"/>
  <sheetViews>
    <sheetView tabSelected="1" workbookViewId="0">
      <pane ySplit="2" topLeftCell="A3" activePane="bottomLeft" state="frozen"/>
      <selection pane="bottomLeft" activeCell="B2" sqref="B2"/>
    </sheetView>
  </sheetViews>
  <sheetFormatPr defaultColWidth="14.42578125" defaultRowHeight="15" customHeight="1"/>
  <cols>
    <col min="1" max="1" width="4.5703125" customWidth="1"/>
    <col min="2" max="2" width="4.85546875" customWidth="1"/>
    <col min="3" max="3" width="15.42578125" customWidth="1"/>
    <col min="4" max="6" width="8.42578125" customWidth="1"/>
    <col min="7" max="7" width="9.140625" customWidth="1"/>
    <col min="8" max="8" width="8.85546875" customWidth="1"/>
    <col min="9" max="9" width="9.140625" customWidth="1"/>
    <col min="10" max="10" width="9.85546875" customWidth="1"/>
    <col min="11" max="11" width="9.5703125" customWidth="1"/>
    <col min="12" max="12" width="10" customWidth="1"/>
    <col min="13" max="13" width="10.42578125" customWidth="1"/>
    <col min="14" max="14" width="10.7109375" customWidth="1"/>
    <col min="15" max="15" width="10.140625" customWidth="1"/>
    <col min="18" max="18" width="53.7109375" customWidth="1"/>
    <col min="19" max="19" width="10.140625" customWidth="1"/>
    <col min="20" max="33" width="14.42578125" style="5"/>
  </cols>
  <sheetData>
    <row r="1" spans="1:19" ht="6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>
      <c r="A2" s="1"/>
      <c r="B2" s="6"/>
      <c r="C2" s="116" t="s">
        <v>0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2"/>
      <c r="S2" s="1"/>
    </row>
    <row r="3" spans="1:19" ht="5.25" customHeight="1">
      <c r="A3" s="1"/>
      <c r="B3" s="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"/>
    </row>
    <row r="4" spans="1:19">
      <c r="A4" s="1"/>
      <c r="B4" s="6"/>
      <c r="C4" s="117" t="s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  <c r="S4" s="1"/>
    </row>
    <row r="5" spans="1:19">
      <c r="A5" s="1"/>
      <c r="B5" s="6"/>
      <c r="C5" s="118" t="s">
        <v>2</v>
      </c>
      <c r="D5" s="119" t="s">
        <v>3</v>
      </c>
      <c r="E5" s="131"/>
      <c r="F5" s="131"/>
      <c r="G5" s="131"/>
      <c r="H5" s="131"/>
      <c r="I5" s="132"/>
      <c r="J5" s="120" t="s">
        <v>4</v>
      </c>
      <c r="K5" s="131"/>
      <c r="L5" s="131"/>
      <c r="M5" s="131"/>
      <c r="N5" s="131"/>
      <c r="O5" s="132"/>
      <c r="P5" s="5"/>
      <c r="Q5" s="121" t="s">
        <v>5</v>
      </c>
      <c r="R5" s="133"/>
      <c r="S5" s="8"/>
    </row>
    <row r="6" spans="1:19">
      <c r="A6" s="1"/>
      <c r="B6" s="6"/>
      <c r="C6" s="134"/>
      <c r="D6" s="122" t="s">
        <v>6</v>
      </c>
      <c r="E6" s="131"/>
      <c r="F6" s="132"/>
      <c r="G6" s="123" t="s">
        <v>7</v>
      </c>
      <c r="H6" s="131"/>
      <c r="I6" s="132"/>
      <c r="J6" s="122" t="s">
        <v>6</v>
      </c>
      <c r="K6" s="131"/>
      <c r="L6" s="132"/>
      <c r="M6" s="123" t="s">
        <v>7</v>
      </c>
      <c r="N6" s="131"/>
      <c r="O6" s="132"/>
      <c r="P6" s="5"/>
      <c r="Q6" s="133"/>
      <c r="R6" s="133"/>
      <c r="S6" s="8"/>
    </row>
    <row r="7" spans="1:19">
      <c r="A7" s="1"/>
      <c r="B7" s="6"/>
      <c r="C7" s="132"/>
      <c r="D7" s="9" t="s">
        <v>8</v>
      </c>
      <c r="E7" s="9" t="s">
        <v>9</v>
      </c>
      <c r="F7" s="9" t="s">
        <v>10</v>
      </c>
      <c r="G7" s="10" t="s">
        <v>8</v>
      </c>
      <c r="H7" s="10" t="s">
        <v>9</v>
      </c>
      <c r="I7" s="10" t="s">
        <v>10</v>
      </c>
      <c r="J7" s="9" t="s">
        <v>8</v>
      </c>
      <c r="K7" s="9" t="s">
        <v>9</v>
      </c>
      <c r="L7" s="9" t="s">
        <v>10</v>
      </c>
      <c r="M7" s="10" t="s">
        <v>8</v>
      </c>
      <c r="N7" s="10" t="s">
        <v>9</v>
      </c>
      <c r="O7" s="10" t="s">
        <v>10</v>
      </c>
      <c r="P7" s="5"/>
      <c r="Q7" s="133"/>
      <c r="R7" s="133"/>
      <c r="S7" s="8"/>
    </row>
    <row r="8" spans="1:19">
      <c r="A8" s="1"/>
      <c r="B8" s="6"/>
      <c r="C8" s="11" t="s">
        <v>11</v>
      </c>
      <c r="D8" s="12">
        <f>COUNTIF('Windows-SBI'!E2:E492, "yes")</f>
        <v>35</v>
      </c>
      <c r="E8" s="12">
        <f>COUNTIF('Windows-SBI'!C2:C492, "yes")</f>
        <v>27</v>
      </c>
      <c r="F8" s="12">
        <f>COUNTIF('Windows-SBI'!D2:D492, "yes")</f>
        <v>41</v>
      </c>
      <c r="G8" s="12">
        <f>COUNTIF('Windows-SBI'!H2:H492, "yes")</f>
        <v>55</v>
      </c>
      <c r="H8" s="12">
        <f>COUNTIF('Windows-SBI'!F2:F492, "yes")</f>
        <v>29</v>
      </c>
      <c r="I8" s="12">
        <f>COUNTIF('Windows-SBI'!G2:G492, "yes")</f>
        <v>48</v>
      </c>
      <c r="J8" s="12">
        <f>COUNTIF('Windows-SBI'!E2:E492, "yes")</f>
        <v>35</v>
      </c>
      <c r="K8" s="12">
        <f>COUNTIF('Windows-SBI'!C2:C492, "yes")</f>
        <v>27</v>
      </c>
      <c r="L8" s="12">
        <f>COUNTIF('Windows-SBI'!D2:D492, "yes")</f>
        <v>41</v>
      </c>
      <c r="M8" s="12">
        <f>COUNTIF('Windows-SBI'!H2:H492, "yes")</f>
        <v>55</v>
      </c>
      <c r="N8" s="12">
        <f>COUNTIF('Windows-SBI'!F2:F492, "yes")</f>
        <v>29</v>
      </c>
      <c r="O8" s="12">
        <f>COUNTIF('Windows-SBI'!G2:G492, "yes")</f>
        <v>48</v>
      </c>
      <c r="P8" s="5"/>
      <c r="Q8" s="133"/>
      <c r="R8" s="133"/>
      <c r="S8" s="8"/>
    </row>
    <row r="9" spans="1:19">
      <c r="A9" s="1"/>
      <c r="B9" s="6"/>
      <c r="C9" s="13" t="s">
        <v>12</v>
      </c>
      <c r="D9" s="14">
        <f>COUNTIFS('Windows-SBI'!E1:E491, "yes", 'Windows-SBI'!X1:X491, "Pass")</f>
        <v>35</v>
      </c>
      <c r="E9" s="14">
        <f>COUNTIFS('Windows-SBI'!C1:C491, "yes", 'Windows-SBI'!Z1:Z491, "Pass")</f>
        <v>27</v>
      </c>
      <c r="F9" s="14">
        <f>COUNTIFS('Windows-SBI'!D1:D491, "yes", 'Windows-SBI'!Y1:Y491, "Pass")</f>
        <v>41</v>
      </c>
      <c r="G9" s="14">
        <f>COUNTIFS('Windows-SBI'!H1:H491, "yes", 'Windows-SBI'!W1:W491, "Pass")</f>
        <v>55</v>
      </c>
      <c r="H9" s="14">
        <f>COUNTIFS('Windows-SBI'!F1:F491, "yes", 'Windows-SBI'!U1:U491, "Pass")</f>
        <v>29</v>
      </c>
      <c r="I9" s="14">
        <f>COUNTIFS('Windows-SBI'!G1:G491, "yes", 'Windows-SBI'!V1:V491, "Pass")</f>
        <v>48</v>
      </c>
      <c r="J9" s="14">
        <f>COUNTIFS('Windows-SBI'!E1:E491, "yes", 'Windows-SBI'!R1:R491, "Pass")</f>
        <v>0</v>
      </c>
      <c r="K9" s="14">
        <f>COUNTIFS('Windows-SBI'!C1:C491, "yes", 'Windows-SBI'!S1:S491, "Pass")</f>
        <v>0</v>
      </c>
      <c r="L9" s="15">
        <f>COUNTIFS('Windows-SBI'!D1:D491, "yes", 'Windows-SBI'!T1:T491, "Pass")</f>
        <v>0</v>
      </c>
      <c r="M9" s="14">
        <f>COUNTIFS('Windows-SBI'!H1:H491, "yes", 'Windows-SBI'!Q1:Q491, "Pass")</f>
        <v>0</v>
      </c>
      <c r="N9" s="14">
        <f>COUNTIFS('Windows-SBI'!F1:F491, "yes", 'Windows-SBI'!O1:O491, "Pass")</f>
        <v>0</v>
      </c>
      <c r="O9" s="14">
        <f>COUNTIFS('Windows-SBI'!G1:G491, "yes", 'Windows-SBI'!P1:P491, "Pass")</f>
        <v>0</v>
      </c>
      <c r="P9" s="5"/>
      <c r="Q9" s="133"/>
      <c r="R9" s="133"/>
      <c r="S9" s="8"/>
    </row>
    <row r="10" spans="1:19">
      <c r="A10" s="1"/>
      <c r="B10" s="6"/>
      <c r="C10" s="16" t="s">
        <v>13</v>
      </c>
      <c r="D10" s="17">
        <f>COUNTIFS('Windows-SBI'!E1:E491, "yes", 'Windows-SBI'!X1:X491, "Fail")</f>
        <v>0</v>
      </c>
      <c r="E10" s="17">
        <f>COUNTIFS('Windows-SBI'!C1:C491, "yes", 'Windows-SBI'!Z1:Z491, "Fail")</f>
        <v>0</v>
      </c>
      <c r="F10" s="17">
        <f>COUNTIFS('Windows-SBI'!D1:D491, "yes", 'Windows-SBI'!Y1:Y491, "Fail")</f>
        <v>0</v>
      </c>
      <c r="G10" s="17">
        <f>COUNTIFS('Windows-SBI'!H1:H491, "yes", 'Windows-SBI'!W1:W491, "Fail")</f>
        <v>0</v>
      </c>
      <c r="H10" s="17">
        <f>COUNTIFS('Windows-SBI'!F1:F491, "yes", 'Windows-SBI'!U1:U491, "Fail")</f>
        <v>0</v>
      </c>
      <c r="I10" s="17">
        <f>COUNTIFS('Windows-SBI'!G1:G491, "yes", 'Windows-SBI'!V1:V491, "Fail")</f>
        <v>0</v>
      </c>
      <c r="J10" s="18">
        <f>COUNTIFS('Windows-SBI'!E1:E491, "yes", 'Windows-SBI'!R1:R491, "Fail")</f>
        <v>0</v>
      </c>
      <c r="K10" s="18">
        <f>COUNTIFS('Windows-SBI'!C1:C491, "yes", 'Windows-SBI'!S1:S491, "Fail")</f>
        <v>0</v>
      </c>
      <c r="L10" s="17">
        <f>COUNTIFS('Windows-SBI'!D1:D491, "yes", 'Windows-SBI'!T1:T491, "Fail")</f>
        <v>0</v>
      </c>
      <c r="M10" s="17">
        <f>COUNTIFS('Windows-SBI'!H1:H491, "yes", 'Windows-SBI'!Q1:Q491, "Fail")</f>
        <v>0</v>
      </c>
      <c r="N10" s="17">
        <f>COUNTIFS('Windows-SBI'!F1:F491, "yes", 'Windows-SBI'!O1:O491, "Fail")</f>
        <v>0</v>
      </c>
      <c r="O10" s="17">
        <f>COUNTIFS('Windows-SBI'!G1:G491, "yes", 'Windows-SBI'!P1:P491, "Fail")</f>
        <v>0</v>
      </c>
      <c r="P10" s="5"/>
      <c r="Q10" s="133"/>
      <c r="R10" s="133"/>
      <c r="S10" s="8"/>
    </row>
    <row r="11" spans="1:19">
      <c r="A11" s="1"/>
      <c r="B11" s="6"/>
      <c r="C11" s="19" t="s">
        <v>14</v>
      </c>
      <c r="D11" s="20">
        <f>COUNTIFS('Windows-SBI'!E1:E491, "yes", 'Windows-SBI'!X1:X491, "Pending")</f>
        <v>0</v>
      </c>
      <c r="E11" s="20">
        <f>COUNTIFS('Windows-SBI'!C1:C491, "yes", 'Windows-SBI'!Z1:Z491, "Pending")</f>
        <v>0</v>
      </c>
      <c r="F11" s="20">
        <f>COUNTIFS('Windows-SBI'!D1:D491, "yes", 'Windows-SBI'!Y1:Y491, "Pending")</f>
        <v>0</v>
      </c>
      <c r="G11" s="20">
        <f>COUNTIFS('Windows-SBI'!H1:H491, "yes", 'Windows-SBI'!W1:W491, "Pending")</f>
        <v>0</v>
      </c>
      <c r="H11" s="20">
        <f>COUNTIFS('Windows-SBI'!F1:F491, "yes", 'Windows-SBI'!U1:U491, "Pending")</f>
        <v>0</v>
      </c>
      <c r="I11" s="20">
        <f>COUNTIFS('Windows-SBI'!G1:G491, "yes", 'Windows-SBI'!V1:V491, "Pending")</f>
        <v>0</v>
      </c>
      <c r="J11" s="20">
        <f>COUNTIFS('Windows-SBI'!E1:E491, "yes", 'Windows-SBI'!R1:R491, "Pending")</f>
        <v>0</v>
      </c>
      <c r="K11" s="20">
        <f>COUNTIFS('Windows-SBI'!C1:C491, "yes", 'Windows-SBI'!S1:S491, "Pending")</f>
        <v>0</v>
      </c>
      <c r="L11" s="21">
        <f>COUNTIFS('Windows-SBI'!D1:D491, "yes", 'Windows-SBI'!T1:T491, "Pending")</f>
        <v>0</v>
      </c>
      <c r="M11" s="20">
        <f>COUNTIFS('Windows-SBI'!H1:H491, "yes", 'Windows-SBI'!Q1:Q491, "Pending")</f>
        <v>0</v>
      </c>
      <c r="N11" s="20">
        <f>COUNTIFS('Windows-SBI'!F1:F491, "yes", 'Windows-SBI'!O1:O491, "Pending")</f>
        <v>0</v>
      </c>
      <c r="O11" s="20">
        <f>COUNTIFS('Windows-SBI'!G1:G491, "yes", 'Windows-SBI'!P1:P491, "Pending")</f>
        <v>0</v>
      </c>
      <c r="P11" s="5"/>
      <c r="Q11" s="133"/>
      <c r="R11" s="133"/>
      <c r="S11" s="8"/>
    </row>
    <row r="12" spans="1:19">
      <c r="A12" s="1"/>
      <c r="B12" s="6"/>
      <c r="C12" s="22" t="s">
        <v>15</v>
      </c>
      <c r="D12" s="23">
        <f>COUNTIFS('Windows-SBI'!E1:E491, "yes", 'Windows-SBI'!X1:X491, "N/A")</f>
        <v>0</v>
      </c>
      <c r="E12" s="23">
        <f>COUNTIFS('Windows-SBI'!C1:C491, "yes", 'Windows-SBI'!Z1:Z491, "N/A")</f>
        <v>0</v>
      </c>
      <c r="F12" s="23">
        <f>COUNTIFS('Windows-SBI'!D1:D491, "yes", 'Windows-SBI'!Y1:Y491, "N/A")</f>
        <v>0</v>
      </c>
      <c r="G12" s="23">
        <f>COUNTIFS('Windows-SBI'!H1:H491, "yes", 'Windows-SBI'!W1:W491, "N/A")</f>
        <v>0</v>
      </c>
      <c r="H12" s="23">
        <f>COUNTIFS('Windows-SBI'!F1:F491, "yes", 'Windows-SBI'!U1:U491, "N/A")</f>
        <v>0</v>
      </c>
      <c r="I12" s="23">
        <f>COUNTIFS('Windows-SBI'!G1:G491, "yes", 'Windows-SBI'!V1:V491, "N/A")</f>
        <v>0</v>
      </c>
      <c r="J12" s="23">
        <f>COUNTIFS('Windows-SBI'!E1:E491, "yes", 'Windows-SBI'!R1:R491, "N/A")</f>
        <v>35</v>
      </c>
      <c r="K12" s="23">
        <f>COUNTIFS('Windows-SBI'!C1:C491, "yes", 'Windows-SBI'!S1:S491, "N/A")</f>
        <v>27</v>
      </c>
      <c r="L12" s="23">
        <f>COUNTIFS('Windows-SBI'!D1:D491, "yes", 'Windows-SBI'!T1:T491, "N/A")</f>
        <v>41</v>
      </c>
      <c r="M12" s="23">
        <f>COUNTIFS('Windows-SBI'!H1:H491, "yes", 'Windows-SBI'!Q1:Q491, "N/A")</f>
        <v>55</v>
      </c>
      <c r="N12" s="23">
        <f>COUNTIFS('Windows-SBI'!F1:F491, "yes", 'Windows-SBI'!O1:O491, "N/A")</f>
        <v>29</v>
      </c>
      <c r="O12" s="23">
        <f>COUNTIFS('Windows-SBI'!G1:G491, "yes", 'Windows-SBI'!P1:P491, "N/A")</f>
        <v>48</v>
      </c>
      <c r="P12" s="5"/>
      <c r="Q12" s="133"/>
      <c r="R12" s="133"/>
      <c r="S12" s="8"/>
    </row>
    <row r="13" spans="1:19">
      <c r="A13" s="1"/>
      <c r="B13" s="5"/>
      <c r="C13" s="24" t="s">
        <v>16</v>
      </c>
      <c r="D13" s="25">
        <f t="shared" ref="D13:O13" si="0">(SUM(D9:D10)/D8)*100</f>
        <v>100</v>
      </c>
      <c r="E13" s="25">
        <f t="shared" si="0"/>
        <v>100</v>
      </c>
      <c r="F13" s="25">
        <f t="shared" si="0"/>
        <v>100</v>
      </c>
      <c r="G13" s="25">
        <f t="shared" si="0"/>
        <v>100</v>
      </c>
      <c r="H13" s="25">
        <f t="shared" si="0"/>
        <v>100</v>
      </c>
      <c r="I13" s="25">
        <f t="shared" si="0"/>
        <v>100</v>
      </c>
      <c r="J13" s="25">
        <f t="shared" si="0"/>
        <v>0</v>
      </c>
      <c r="K13" s="25">
        <f t="shared" si="0"/>
        <v>0</v>
      </c>
      <c r="L13" s="25">
        <f t="shared" si="0"/>
        <v>0</v>
      </c>
      <c r="M13" s="25">
        <f t="shared" si="0"/>
        <v>0</v>
      </c>
      <c r="N13" s="25">
        <f t="shared" si="0"/>
        <v>0</v>
      </c>
      <c r="O13" s="25">
        <f t="shared" si="0"/>
        <v>0</v>
      </c>
      <c r="P13" s="5"/>
      <c r="Q13" s="5"/>
      <c r="R13" s="5"/>
      <c r="S13" s="1"/>
    </row>
    <row r="14" spans="1:19">
      <c r="A14" s="1"/>
      <c r="B14" s="5"/>
      <c r="C14" s="24" t="s">
        <v>17</v>
      </c>
      <c r="D14" s="25">
        <f t="shared" ref="D14:O14" si="1">(D9/D8)*100</f>
        <v>100</v>
      </c>
      <c r="E14" s="25">
        <f t="shared" si="1"/>
        <v>100</v>
      </c>
      <c r="F14" s="25">
        <f t="shared" si="1"/>
        <v>100</v>
      </c>
      <c r="G14" s="25">
        <f t="shared" si="1"/>
        <v>100</v>
      </c>
      <c r="H14" s="25">
        <f t="shared" si="1"/>
        <v>100</v>
      </c>
      <c r="I14" s="25">
        <f t="shared" si="1"/>
        <v>100</v>
      </c>
      <c r="J14" s="25">
        <f t="shared" si="1"/>
        <v>0</v>
      </c>
      <c r="K14" s="25">
        <f t="shared" si="1"/>
        <v>0</v>
      </c>
      <c r="L14" s="25">
        <f t="shared" si="1"/>
        <v>0</v>
      </c>
      <c r="M14" s="25">
        <f t="shared" si="1"/>
        <v>0</v>
      </c>
      <c r="N14" s="25">
        <f t="shared" si="1"/>
        <v>0</v>
      </c>
      <c r="O14" s="25">
        <f t="shared" si="1"/>
        <v>0</v>
      </c>
      <c r="P14" s="5"/>
      <c r="Q14" s="5"/>
      <c r="R14" s="5"/>
      <c r="S14" s="1"/>
    </row>
    <row r="15" spans="1:19">
      <c r="A15" s="1"/>
      <c r="B15" s="5"/>
      <c r="C15" s="124" t="s">
        <v>18</v>
      </c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6"/>
      <c r="S15" s="1"/>
    </row>
    <row r="16" spans="1:19">
      <c r="A16" s="1"/>
      <c r="B16" s="5"/>
      <c r="C16" s="125" t="s">
        <v>2</v>
      </c>
      <c r="D16" s="119" t="s">
        <v>3</v>
      </c>
      <c r="E16" s="131"/>
      <c r="F16" s="131"/>
      <c r="G16" s="131"/>
      <c r="H16" s="131"/>
      <c r="I16" s="132"/>
      <c r="J16" s="120" t="s">
        <v>4</v>
      </c>
      <c r="K16" s="131"/>
      <c r="L16" s="131"/>
      <c r="M16" s="131"/>
      <c r="N16" s="131"/>
      <c r="O16" s="132"/>
      <c r="P16" s="5"/>
      <c r="Q16" s="126" t="s">
        <v>19</v>
      </c>
      <c r="R16" s="133"/>
      <c r="S16" s="1"/>
    </row>
    <row r="17" spans="1:19">
      <c r="A17" s="1"/>
      <c r="B17" s="5"/>
      <c r="C17" s="137"/>
      <c r="D17" s="122" t="s">
        <v>6</v>
      </c>
      <c r="E17" s="131"/>
      <c r="F17" s="132"/>
      <c r="G17" s="123" t="s">
        <v>7</v>
      </c>
      <c r="H17" s="131"/>
      <c r="I17" s="132"/>
      <c r="J17" s="122" t="s">
        <v>6</v>
      </c>
      <c r="K17" s="131"/>
      <c r="L17" s="132"/>
      <c r="M17" s="123" t="s">
        <v>7</v>
      </c>
      <c r="N17" s="131"/>
      <c r="O17" s="132"/>
      <c r="P17" s="5"/>
      <c r="Q17" s="133"/>
      <c r="R17" s="133"/>
      <c r="S17" s="1"/>
    </row>
    <row r="18" spans="1:19">
      <c r="A18" s="1"/>
      <c r="B18" s="5"/>
      <c r="C18" s="138"/>
      <c r="D18" s="9" t="s">
        <v>8</v>
      </c>
      <c r="E18" s="9" t="s">
        <v>9</v>
      </c>
      <c r="F18" s="9" t="s">
        <v>10</v>
      </c>
      <c r="G18" s="10" t="s">
        <v>8</v>
      </c>
      <c r="H18" s="10" t="s">
        <v>9</v>
      </c>
      <c r="I18" s="10" t="s">
        <v>10</v>
      </c>
      <c r="J18" s="9" t="s">
        <v>8</v>
      </c>
      <c r="K18" s="9" t="s">
        <v>9</v>
      </c>
      <c r="L18" s="9" t="s">
        <v>10</v>
      </c>
      <c r="M18" s="10" t="s">
        <v>8</v>
      </c>
      <c r="N18" s="10" t="s">
        <v>9</v>
      </c>
      <c r="O18" s="10" t="s">
        <v>10</v>
      </c>
      <c r="P18" s="5"/>
      <c r="Q18" s="133"/>
      <c r="R18" s="133"/>
      <c r="S18" s="1"/>
    </row>
    <row r="19" spans="1:19">
      <c r="A19" s="1"/>
      <c r="B19" s="5"/>
      <c r="C19" s="26" t="s">
        <v>11</v>
      </c>
      <c r="D19" s="12">
        <f>COUNTIF('Android-SBI'!E2:E492, "yes")</f>
        <v>35</v>
      </c>
      <c r="E19" s="12">
        <f>COUNTIF('Android-SBI'!C2:C492, "yes")</f>
        <v>27</v>
      </c>
      <c r="F19" s="12">
        <f>COUNTIF('Android-SBI'!D2:D492, "yes")</f>
        <v>41</v>
      </c>
      <c r="G19" s="12">
        <f>COUNTIF('Android-SBI'!H2:H492, "yes")</f>
        <v>49</v>
      </c>
      <c r="H19" s="12">
        <f>COUNTIF('Android-SBI'!F2:F492, "yes")</f>
        <v>26</v>
      </c>
      <c r="I19" s="12">
        <f>COUNTIF('Android-SBI'!G2:G492, "yes")</f>
        <v>45</v>
      </c>
      <c r="J19" s="12">
        <f>COUNTIF('Android-SBI'!E2:E492, "yes")</f>
        <v>35</v>
      </c>
      <c r="K19" s="12">
        <f>COUNTIF('Android-SBI'!C2:C492, "yes")</f>
        <v>27</v>
      </c>
      <c r="L19" s="12">
        <f>COUNTIF('Android-SBI'!D2:D492, "yes")</f>
        <v>41</v>
      </c>
      <c r="M19" s="12">
        <f>COUNTIF('Android-SBI'!H2:H492, "yes")</f>
        <v>49</v>
      </c>
      <c r="N19" s="12">
        <f>COUNTIF('Android-SBI'!F2:F492, "yes")</f>
        <v>26</v>
      </c>
      <c r="O19" s="12">
        <f>COUNTIF('Android-SBI'!G2:G492, "yes")</f>
        <v>45</v>
      </c>
      <c r="P19" s="5"/>
      <c r="Q19" s="133"/>
      <c r="R19" s="133"/>
      <c r="S19" s="1"/>
    </row>
    <row r="20" spans="1:19">
      <c r="A20" s="1"/>
      <c r="B20" s="5"/>
      <c r="C20" s="27" t="s">
        <v>12</v>
      </c>
      <c r="D20" s="14">
        <f>COUNTIFS('Android-SBI'!E1:E491, "yes", 'Android-SBI'!X1:X491, "Pass")</f>
        <v>35</v>
      </c>
      <c r="E20" s="14">
        <f>COUNTIFS('Android-SBI'!C1:C491, "yes", 'Android-SBI'!Z1:Z491, "Pass")</f>
        <v>27</v>
      </c>
      <c r="F20" s="14">
        <f>COUNTIFS('Android-SBI'!D1:D491, "yes", 'Android-SBI'!Y1:Y491, "Pass")</f>
        <v>41</v>
      </c>
      <c r="G20" s="14">
        <f>COUNTIFS('Android-SBI'!H1:H491, "yes", 'Android-SBI'!W1:W491, "Pass")</f>
        <v>49</v>
      </c>
      <c r="H20" s="14">
        <f>COUNTIFS('Android-SBI'!F1:F491, "yes", 'Android-SBI'!U1:U491, "Pass")</f>
        <v>26</v>
      </c>
      <c r="I20" s="14">
        <f>COUNTIFS('Android-SBI'!G1:G491, "yes", 'Android-SBI'!V1:V491, "Pass")</f>
        <v>45</v>
      </c>
      <c r="J20" s="14">
        <f>COUNTIFS('Android-SBI'!E1:E491, "yes", 'Android-SBI'!R1:R491, "Pass")</f>
        <v>0</v>
      </c>
      <c r="K20" s="14">
        <f>COUNTIFS('Android-SBI'!C1:C491, "yes", 'Android-SBI'!S1:S491, "Pass")</f>
        <v>0</v>
      </c>
      <c r="L20" s="15">
        <f>COUNTIFS('Android-SBI'!D1:D491, "yes", 'Android-SBI'!T1:T491, "Pass")</f>
        <v>0</v>
      </c>
      <c r="M20" s="14">
        <f>COUNTIFS('Android-SBI'!H1:H491, "yes", 'Android-SBI'!Q1:Q491, "Pass")</f>
        <v>0</v>
      </c>
      <c r="N20" s="14">
        <f>COUNTIFS('Android-SBI'!F1:F491, "yes", 'Android-SBI'!O1:O491, "Pass")</f>
        <v>0</v>
      </c>
      <c r="O20" s="14">
        <f>COUNTIFS('Android-SBI'!G1:G491, "yes", 'Android-SBI'!P1:P491, "Pass")</f>
        <v>0</v>
      </c>
      <c r="P20" s="5"/>
      <c r="Q20" s="133"/>
      <c r="R20" s="133"/>
      <c r="S20" s="1"/>
    </row>
    <row r="21" spans="1:19">
      <c r="A21" s="1"/>
      <c r="B21" s="5"/>
      <c r="C21" s="28" t="s">
        <v>13</v>
      </c>
      <c r="D21" s="17">
        <f>COUNTIFS('Android-SBI'!E1:E491, "yes", 'Android-SBI'!X1:X491, "Fail")</f>
        <v>0</v>
      </c>
      <c r="E21" s="17">
        <f>COUNTIFS('Android-SBI'!C1:C491, "yes", 'Android-SBI'!Z1:Z491, "Fail")</f>
        <v>0</v>
      </c>
      <c r="F21" s="17">
        <f>COUNTIFS('Android-SBI'!D1:D491, "yes", 'Android-SBI'!Y1:Y491, "Fail")</f>
        <v>0</v>
      </c>
      <c r="G21" s="17">
        <f>COUNTIFS('Android-SBI'!H1:H491, "yes", 'Android-SBI'!W1:W491, "Fail")</f>
        <v>0</v>
      </c>
      <c r="H21" s="17">
        <f>COUNTIFS('Android-SBI'!F1:F491, "yes", 'Android-SBI'!U1:U491, "Fail")</f>
        <v>0</v>
      </c>
      <c r="I21" s="17">
        <f>COUNTIFS('Android-SBI'!G1:G491, "yes", 'Android-SBI'!V1:V491, "Fail")</f>
        <v>0</v>
      </c>
      <c r="J21" s="18">
        <f>COUNTIFS('Android-SBI'!E1:E491, "yes", 'Android-SBI'!R1:R491, "Fail")</f>
        <v>0</v>
      </c>
      <c r="K21" s="18">
        <f>COUNTIFS('Android-SBI'!C1:C491, "yes", 'Android-SBI'!S1:S491, "Fail")</f>
        <v>0</v>
      </c>
      <c r="L21" s="17">
        <f>COUNTIFS('Android-SBI'!D1:D491, "yes", 'Android-SBI'!T1:T491, "Fail")</f>
        <v>0</v>
      </c>
      <c r="M21" s="17">
        <f>COUNTIFS('Android-SBI'!H1:H491, "yes", 'Android-SBI'!Q1:Q491, "Fail")</f>
        <v>0</v>
      </c>
      <c r="N21" s="17">
        <f>COUNTIFS('Android-SBI'!F1:F491, "yes", 'Android-SBI'!O1:O491, "Fail")</f>
        <v>0</v>
      </c>
      <c r="O21" s="17">
        <f>COUNTIFS('Android-SBI'!G1:G491, "yes", 'Android-SBI'!P1:P491, "fail")</f>
        <v>0</v>
      </c>
      <c r="P21" s="5"/>
      <c r="Q21" s="133"/>
      <c r="R21" s="133"/>
      <c r="S21" s="1"/>
    </row>
    <row r="22" spans="1:19">
      <c r="A22" s="1"/>
      <c r="B22" s="5"/>
      <c r="C22" s="29" t="s">
        <v>14</v>
      </c>
      <c r="D22" s="20">
        <f>COUNTIFS('Android-SBI'!E1:E491, "yes", 'Android-SBI'!X1:X491, "Pending")</f>
        <v>0</v>
      </c>
      <c r="E22" s="20">
        <f>COUNTIFS('Android-SBI'!C1:C491, "yes", 'Android-SBI'!Z1:Z491, "Pending")</f>
        <v>0</v>
      </c>
      <c r="F22" s="20">
        <f>COUNTIFS('Android-SBI'!D1:D491, "yes", 'Android-SBI'!Y1:Y491, "Pending")</f>
        <v>0</v>
      </c>
      <c r="G22" s="20">
        <f>COUNTIFS('Android-SBI'!H1:H491, "yes", 'Android-SBI'!W1:W491, "Pending")</f>
        <v>0</v>
      </c>
      <c r="H22" s="20">
        <f>COUNTIFS('Android-SBI'!F1:F491, "yes", 'Android-SBI'!U1:U491, "Pending")</f>
        <v>0</v>
      </c>
      <c r="I22" s="20">
        <f>COUNTIFS('Android-SBI'!G1:G491, "yes", 'Android-SBI'!V1:V491, "Pending")</f>
        <v>0</v>
      </c>
      <c r="J22" s="20">
        <f>COUNTIFS('Android-SBI'!E1:E491, "yes", 'Android-SBI'!R1:R491, "Pending")</f>
        <v>0</v>
      </c>
      <c r="K22" s="20">
        <f>COUNTIFS('Android-SBI'!C1:C491, "yes", 'Android-SBI'!S1:S491, "Pending")</f>
        <v>0</v>
      </c>
      <c r="L22" s="20">
        <f>COUNTIFS('Android-SBI'!D1:D491, "yes", 'Android-SBI'!T1:T491, "Pending")</f>
        <v>0</v>
      </c>
      <c r="M22" s="20">
        <f>COUNTIFS('Android-SBI'!H1:H491, "yes", 'Android-SBI'!Q1:Q491, "Pending")</f>
        <v>0</v>
      </c>
      <c r="N22" s="20">
        <f>COUNTIFS('Android-SBI'!F1:F491, "yes", 'Android-SBI'!O1:O491, "Pending")</f>
        <v>0</v>
      </c>
      <c r="O22" s="20">
        <f>COUNTIFS('Android-SBI'!G1:G491, "yes", 'Android-SBI'!P1:P491, "Pending")</f>
        <v>0</v>
      </c>
      <c r="P22" s="5"/>
      <c r="Q22" s="133"/>
      <c r="R22" s="133"/>
      <c r="S22" s="1"/>
    </row>
    <row r="23" spans="1:19">
      <c r="A23" s="1"/>
      <c r="B23" s="5"/>
      <c r="C23" s="30" t="s">
        <v>15</v>
      </c>
      <c r="D23" s="23">
        <f>COUNTIFS('Android-SBI'!E1:E491, "yes", 'Android-SBI'!X1:X491, "N/A")</f>
        <v>0</v>
      </c>
      <c r="E23" s="23">
        <f>COUNTIFS('Android-SBI'!C1:C491, "yes", 'Android-SBI'!Z1:Z491, "N/A")</f>
        <v>0</v>
      </c>
      <c r="F23" s="23">
        <f>COUNTIFS('Android-SBI'!D1:D491, "yes", 'Android-SBI'!Y1:Y491, "N/A")</f>
        <v>0</v>
      </c>
      <c r="G23" s="23">
        <f>COUNTIFS('Android-SBI'!H1:H491, "yes", 'Android-SBI'!W1:W491, "N/A")</f>
        <v>0</v>
      </c>
      <c r="H23" s="23">
        <f>COUNTIFS('Android-SBI'!F1:F491, "yes", 'Android-SBI'!U1:U491, "N/A")</f>
        <v>0</v>
      </c>
      <c r="I23" s="23">
        <f>COUNTIFS('Android-SBI'!G1:G491, "yes", 'Android-SBI'!V1:V491, "N/A")</f>
        <v>0</v>
      </c>
      <c r="J23" s="23">
        <f>COUNTIFS('Android-SBI'!E1:E491, "yes", 'Android-SBI'!R1:R491, "N/A")</f>
        <v>35</v>
      </c>
      <c r="K23" s="23">
        <f>COUNTIFS('Android-SBI'!C1:C491, "yes", 'Android-SBI'!S1:S491, "N/A")</f>
        <v>27</v>
      </c>
      <c r="L23" s="23">
        <f>COUNTIFS('Android-SBI'!D1:D491, "yes", 'Android-SBI'!T1:T491, "N/A")</f>
        <v>41</v>
      </c>
      <c r="M23" s="23">
        <f>COUNTIFS('Android-SBI'!H1:H491, "yes", 'Android-SBI'!Q1:Q491, "N/A")</f>
        <v>49</v>
      </c>
      <c r="N23" s="23">
        <f>COUNTIFS('Android-SBI'!F1:F491, "yes", 'Android-SBI'!O1:O491, "N/A")</f>
        <v>26</v>
      </c>
      <c r="O23" s="23">
        <f>COUNTIFS('Android-SBI'!G1:G491, "yes", 'Android-SBI'!P1:P491, "N/A")</f>
        <v>45</v>
      </c>
      <c r="P23" s="5"/>
      <c r="Q23" s="133"/>
      <c r="R23" s="133"/>
      <c r="S23" s="1"/>
    </row>
    <row r="24" spans="1:19">
      <c r="A24" s="1"/>
      <c r="B24" s="5"/>
      <c r="C24" s="24" t="s">
        <v>16</v>
      </c>
      <c r="D24" s="25">
        <f t="shared" ref="D24:O24" si="2">(SUM(D20:D21)/D19)*100</f>
        <v>100</v>
      </c>
      <c r="E24" s="25">
        <f t="shared" si="2"/>
        <v>100</v>
      </c>
      <c r="F24" s="25">
        <f t="shared" si="2"/>
        <v>100</v>
      </c>
      <c r="G24" s="25">
        <f t="shared" si="2"/>
        <v>100</v>
      </c>
      <c r="H24" s="25">
        <f t="shared" si="2"/>
        <v>100</v>
      </c>
      <c r="I24" s="25">
        <f t="shared" si="2"/>
        <v>100</v>
      </c>
      <c r="J24" s="25">
        <f t="shared" si="2"/>
        <v>0</v>
      </c>
      <c r="K24" s="25">
        <f t="shared" si="2"/>
        <v>0</v>
      </c>
      <c r="L24" s="25">
        <f t="shared" si="2"/>
        <v>0</v>
      </c>
      <c r="M24" s="25">
        <f t="shared" si="2"/>
        <v>0</v>
      </c>
      <c r="N24" s="25">
        <f t="shared" si="2"/>
        <v>0</v>
      </c>
      <c r="O24" s="25">
        <f t="shared" si="2"/>
        <v>0</v>
      </c>
      <c r="P24" s="5"/>
      <c r="Q24" s="5"/>
      <c r="R24" s="5"/>
      <c r="S24" s="1"/>
    </row>
    <row r="25" spans="1:19">
      <c r="A25" s="1"/>
      <c r="B25" s="5"/>
      <c r="C25" s="24" t="s">
        <v>17</v>
      </c>
      <c r="D25" s="25">
        <f t="shared" ref="D25:O25" si="3">(D20/D19)*100</f>
        <v>100</v>
      </c>
      <c r="E25" s="25">
        <f t="shared" si="3"/>
        <v>100</v>
      </c>
      <c r="F25" s="25">
        <f t="shared" si="3"/>
        <v>100</v>
      </c>
      <c r="G25" s="25">
        <f t="shared" si="3"/>
        <v>100</v>
      </c>
      <c r="H25" s="25">
        <f t="shared" si="3"/>
        <v>100</v>
      </c>
      <c r="I25" s="25">
        <f t="shared" si="3"/>
        <v>100</v>
      </c>
      <c r="J25" s="25">
        <f t="shared" si="3"/>
        <v>0</v>
      </c>
      <c r="K25" s="25">
        <f t="shared" si="3"/>
        <v>0</v>
      </c>
      <c r="L25" s="25">
        <f t="shared" si="3"/>
        <v>0</v>
      </c>
      <c r="M25" s="25">
        <f t="shared" si="3"/>
        <v>0</v>
      </c>
      <c r="N25" s="25">
        <f t="shared" si="3"/>
        <v>0</v>
      </c>
      <c r="O25" s="25">
        <f t="shared" si="3"/>
        <v>0</v>
      </c>
      <c r="P25" s="5"/>
      <c r="Q25" s="5"/>
      <c r="R25" s="5"/>
      <c r="S25" s="1"/>
    </row>
    <row r="26" spans="1:19">
      <c r="A26" s="1"/>
      <c r="B26" s="6"/>
      <c r="C26" s="124" t="s">
        <v>20</v>
      </c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6"/>
      <c r="S26" s="1"/>
    </row>
    <row r="27" spans="1:19">
      <c r="A27" s="1"/>
      <c r="B27" s="6"/>
      <c r="C27" s="129" t="s">
        <v>2</v>
      </c>
      <c r="D27" s="130" t="s">
        <v>21</v>
      </c>
      <c r="E27" s="135"/>
      <c r="F27" s="136"/>
      <c r="G27" s="31"/>
      <c r="H27" s="31"/>
      <c r="I27" s="31"/>
      <c r="J27" s="31"/>
      <c r="K27" s="31"/>
      <c r="L27" s="31"/>
      <c r="M27" s="31"/>
      <c r="N27" s="31"/>
      <c r="O27" s="31"/>
      <c r="P27" s="5"/>
      <c r="Q27" s="127" t="s">
        <v>22</v>
      </c>
      <c r="R27" s="133"/>
      <c r="S27" s="1"/>
    </row>
    <row r="28" spans="1:19">
      <c r="A28" s="1"/>
      <c r="B28" s="6"/>
      <c r="C28" s="138"/>
      <c r="D28" s="32" t="s">
        <v>23</v>
      </c>
      <c r="E28" s="32" t="s">
        <v>24</v>
      </c>
      <c r="F28" s="32" t="s">
        <v>25</v>
      </c>
      <c r="G28" s="31"/>
      <c r="H28" s="31"/>
      <c r="I28" s="31"/>
      <c r="J28" s="31"/>
      <c r="K28" s="31"/>
      <c r="L28" s="31"/>
      <c r="M28" s="31"/>
      <c r="N28" s="31"/>
      <c r="O28" s="31"/>
      <c r="P28" s="5"/>
      <c r="Q28" s="133"/>
      <c r="R28" s="133"/>
      <c r="S28" s="1"/>
    </row>
    <row r="29" spans="1:19">
      <c r="A29" s="1"/>
      <c r="B29" s="6"/>
      <c r="C29" s="33" t="s">
        <v>11</v>
      </c>
      <c r="D29" s="34">
        <f>COUNTA('Windows-SDK'!B2:B494)</f>
        <v>65</v>
      </c>
      <c r="E29" s="34">
        <f>COUNTA('Windows-SDK'!B2:B494)</f>
        <v>65</v>
      </c>
      <c r="F29" s="34">
        <f>COUNTA('Windows-SDK'!B2:B494)</f>
        <v>65</v>
      </c>
      <c r="G29" s="31"/>
      <c r="H29" s="31"/>
      <c r="I29" s="31"/>
      <c r="J29" s="31"/>
      <c r="K29" s="31"/>
      <c r="L29" s="31"/>
      <c r="M29" s="31"/>
      <c r="N29" s="31"/>
      <c r="O29" s="31"/>
      <c r="P29" s="5"/>
      <c r="Q29" s="133"/>
      <c r="R29" s="133"/>
      <c r="S29" s="1"/>
    </row>
    <row r="30" spans="1:19">
      <c r="A30" s="1"/>
      <c r="B30" s="6"/>
      <c r="C30" s="35" t="s">
        <v>12</v>
      </c>
      <c r="D30" s="36">
        <f>COUNTIF('Windows-SDK'!I2:I494, "Pass")</f>
        <v>65</v>
      </c>
      <c r="E30" s="36">
        <f>COUNTIF('Windows-SDK'!H2:H494, "Pass")</f>
        <v>0</v>
      </c>
      <c r="F30" s="36">
        <f>COUNTIF('Windows-SDK'!J2:J494, "Pass")</f>
        <v>0</v>
      </c>
      <c r="G30" s="31"/>
      <c r="H30" s="31"/>
      <c r="I30" s="31"/>
      <c r="J30" s="31"/>
      <c r="K30" s="31"/>
      <c r="L30" s="31"/>
      <c r="M30" s="31"/>
      <c r="N30" s="31"/>
      <c r="O30" s="31"/>
      <c r="P30" s="5"/>
      <c r="Q30" s="133"/>
      <c r="R30" s="133"/>
      <c r="S30" s="1"/>
    </row>
    <row r="31" spans="1:19">
      <c r="A31" s="1"/>
      <c r="B31" s="6"/>
      <c r="C31" s="37" t="s">
        <v>13</v>
      </c>
      <c r="D31" s="38">
        <f>COUNTIF('Windows-SDK'!I2:I494, "Fail")</f>
        <v>0</v>
      </c>
      <c r="E31" s="38">
        <f>COUNTIF('Windows-SDK'!H7:H494, "Fail")</f>
        <v>0</v>
      </c>
      <c r="F31" s="38">
        <f>COUNTIF('Windows-SDK'!J7:J494, "Fail")</f>
        <v>0</v>
      </c>
      <c r="G31" s="31"/>
      <c r="H31" s="31"/>
      <c r="I31" s="31"/>
      <c r="J31" s="31"/>
      <c r="K31" s="31"/>
      <c r="L31" s="31"/>
      <c r="M31" s="31"/>
      <c r="N31" s="31"/>
      <c r="O31" s="31"/>
      <c r="P31" s="5"/>
      <c r="Q31" s="133"/>
      <c r="R31" s="133"/>
      <c r="S31" s="1"/>
    </row>
    <row r="32" spans="1:19">
      <c r="A32" s="1"/>
      <c r="B32" s="6"/>
      <c r="C32" s="39" t="s">
        <v>14</v>
      </c>
      <c r="D32" s="40">
        <f>COUNTIF('Windows-SDK'!I2:I494, "Pending")</f>
        <v>0</v>
      </c>
      <c r="E32" s="40">
        <f>COUNTIF('Windows-SDK'!H7:H494, "Pending")</f>
        <v>0</v>
      </c>
      <c r="F32" s="40">
        <f>COUNTIF('Windows-SDK'!J2:J494, "Pending")</f>
        <v>0</v>
      </c>
      <c r="G32" s="31"/>
      <c r="H32" s="31"/>
      <c r="I32" s="31"/>
      <c r="J32" s="31"/>
      <c r="K32" s="31"/>
      <c r="L32" s="31"/>
      <c r="M32" s="31"/>
      <c r="N32" s="31"/>
      <c r="O32" s="31"/>
      <c r="P32" s="5"/>
      <c r="Q32" s="133"/>
      <c r="R32" s="133"/>
      <c r="S32" s="1"/>
    </row>
    <row r="33" spans="1:19">
      <c r="A33" s="1"/>
      <c r="B33" s="6"/>
      <c r="C33" s="41" t="s">
        <v>15</v>
      </c>
      <c r="D33" s="42">
        <f>COUNTIF('Windows-SDK'!I2:I494, "N/A")</f>
        <v>0</v>
      </c>
      <c r="E33" s="42">
        <f>COUNTIF('Windows-SDK'!H2:H494, "N/A")</f>
        <v>65</v>
      </c>
      <c r="F33" s="42">
        <f>COUNTIF('Windows-SDK'!J2:J494, "N/A")</f>
        <v>65</v>
      </c>
      <c r="G33" s="31"/>
      <c r="H33" s="31"/>
      <c r="I33" s="31"/>
      <c r="J33" s="31"/>
      <c r="K33" s="31"/>
      <c r="L33" s="31"/>
      <c r="M33" s="31"/>
      <c r="N33" s="31"/>
      <c r="O33" s="31"/>
      <c r="P33" s="5"/>
      <c r="Q33" s="133"/>
      <c r="R33" s="133"/>
      <c r="S33" s="1"/>
    </row>
    <row r="34" spans="1:19">
      <c r="A34" s="5"/>
      <c r="B34" s="43"/>
      <c r="C34" s="24" t="s">
        <v>16</v>
      </c>
      <c r="D34" s="25">
        <f t="shared" ref="D34:F34" si="4">(SUM(D30:D31)/D29)*100</f>
        <v>100</v>
      </c>
      <c r="E34" s="25">
        <f t="shared" si="4"/>
        <v>0</v>
      </c>
      <c r="F34" s="25">
        <f t="shared" si="4"/>
        <v>0</v>
      </c>
      <c r="G34" s="44"/>
      <c r="H34" s="44"/>
      <c r="I34" s="44"/>
      <c r="J34" s="5"/>
      <c r="K34" s="5"/>
      <c r="L34" s="5"/>
      <c r="M34" s="5"/>
      <c r="N34" s="5"/>
      <c r="O34" s="5"/>
      <c r="P34" s="5"/>
      <c r="Q34" s="5"/>
      <c r="R34" s="5"/>
      <c r="S34" s="1"/>
    </row>
    <row r="35" spans="1:19">
      <c r="A35" s="5"/>
      <c r="B35" s="43"/>
      <c r="C35" s="24" t="s">
        <v>17</v>
      </c>
      <c r="D35" s="25">
        <f t="shared" ref="D35:F35" si="5">(D30/D29)*100</f>
        <v>100</v>
      </c>
      <c r="E35" s="25">
        <f t="shared" si="5"/>
        <v>0</v>
      </c>
      <c r="F35" s="25">
        <f t="shared" si="5"/>
        <v>0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1"/>
    </row>
    <row r="36" spans="1:19">
      <c r="A36" s="5"/>
      <c r="B36" s="45"/>
      <c r="C36" s="124" t="s">
        <v>26</v>
      </c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6"/>
      <c r="S36" s="1"/>
    </row>
    <row r="37" spans="1:19">
      <c r="A37" s="5"/>
      <c r="B37" s="45"/>
      <c r="C37" s="129" t="s">
        <v>2</v>
      </c>
      <c r="D37" s="130" t="s">
        <v>27</v>
      </c>
      <c r="E37" s="135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5"/>
      <c r="Q37" s="128" t="s">
        <v>28</v>
      </c>
      <c r="R37" s="133"/>
      <c r="S37" s="1"/>
    </row>
    <row r="38" spans="1:19">
      <c r="A38" s="5"/>
      <c r="B38" s="45"/>
      <c r="C38" s="138"/>
      <c r="D38" s="32" t="s">
        <v>23</v>
      </c>
      <c r="E38" s="32" t="s">
        <v>29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5"/>
      <c r="Q38" s="133"/>
      <c r="R38" s="133"/>
      <c r="S38" s="1"/>
    </row>
    <row r="39" spans="1:19">
      <c r="A39" s="5"/>
      <c r="B39" s="45"/>
      <c r="C39" s="33" t="s">
        <v>11</v>
      </c>
      <c r="D39" s="34">
        <v>29</v>
      </c>
      <c r="E39" s="34">
        <v>29</v>
      </c>
      <c r="F39" s="34"/>
      <c r="G39" s="31"/>
      <c r="H39" s="31"/>
      <c r="I39" s="31"/>
      <c r="J39" s="31"/>
      <c r="K39" s="31"/>
      <c r="L39" s="31"/>
      <c r="M39" s="31"/>
      <c r="N39" s="31"/>
      <c r="O39" s="31"/>
      <c r="P39" s="5"/>
      <c r="Q39" s="133"/>
      <c r="R39" s="133"/>
      <c r="S39" s="1"/>
    </row>
    <row r="40" spans="1:19">
      <c r="A40" s="5"/>
      <c r="B40" s="45"/>
      <c r="C40" s="35" t="s">
        <v>12</v>
      </c>
      <c r="D40" s="36">
        <v>28</v>
      </c>
      <c r="E40" s="36">
        <v>0</v>
      </c>
      <c r="F40" s="36"/>
      <c r="G40" s="31"/>
      <c r="H40" s="31"/>
      <c r="I40" s="31"/>
      <c r="J40" s="31"/>
      <c r="K40" s="31"/>
      <c r="L40" s="31"/>
      <c r="M40" s="31"/>
      <c r="N40" s="31"/>
      <c r="O40" s="31"/>
      <c r="P40" s="5"/>
      <c r="Q40" s="133"/>
      <c r="R40" s="133"/>
      <c r="S40" s="1"/>
    </row>
    <row r="41" spans="1:19">
      <c r="A41" s="5"/>
      <c r="B41" s="45"/>
      <c r="C41" s="37" t="s">
        <v>13</v>
      </c>
      <c r="D41" s="38">
        <v>0</v>
      </c>
      <c r="E41" s="38">
        <v>0</v>
      </c>
      <c r="F41" s="38"/>
      <c r="G41" s="31"/>
      <c r="H41" s="31"/>
      <c r="I41" s="31"/>
      <c r="J41" s="31"/>
      <c r="K41" s="31"/>
      <c r="L41" s="31"/>
      <c r="M41" s="31"/>
      <c r="N41" s="31"/>
      <c r="O41" s="31"/>
      <c r="P41" s="5"/>
      <c r="Q41" s="133"/>
      <c r="R41" s="133"/>
      <c r="S41" s="1"/>
    </row>
    <row r="42" spans="1:19">
      <c r="A42" s="5"/>
      <c r="B42" s="45"/>
      <c r="C42" s="39" t="s">
        <v>14</v>
      </c>
      <c r="D42" s="40">
        <v>0</v>
      </c>
      <c r="E42" s="40">
        <v>0</v>
      </c>
      <c r="F42" s="40"/>
      <c r="G42" s="31"/>
      <c r="H42" s="31"/>
      <c r="I42" s="31"/>
      <c r="J42" s="31"/>
      <c r="K42" s="31"/>
      <c r="L42" s="31"/>
      <c r="M42" s="31"/>
      <c r="N42" s="31"/>
      <c r="O42" s="31"/>
      <c r="P42" s="5"/>
      <c r="Q42" s="133"/>
      <c r="R42" s="133"/>
      <c r="S42" s="1"/>
    </row>
    <row r="43" spans="1:19">
      <c r="A43" s="5"/>
      <c r="B43" s="45"/>
      <c r="C43" s="41" t="s">
        <v>15</v>
      </c>
      <c r="D43" s="42">
        <v>1</v>
      </c>
      <c r="E43" s="42"/>
      <c r="F43" s="42"/>
      <c r="G43" s="31"/>
      <c r="H43" s="31"/>
      <c r="I43" s="31"/>
      <c r="J43" s="31"/>
      <c r="K43" s="31"/>
      <c r="L43" s="31"/>
      <c r="M43" s="31"/>
      <c r="N43" s="31"/>
      <c r="O43" s="31"/>
      <c r="P43" s="5"/>
      <c r="Q43" s="133"/>
      <c r="R43" s="133"/>
      <c r="S43" s="1"/>
    </row>
    <row r="44" spans="1:19">
      <c r="A44" s="5"/>
      <c r="B44" s="43"/>
      <c r="C44" s="24" t="s">
        <v>16</v>
      </c>
      <c r="D44" s="25">
        <v>100</v>
      </c>
      <c r="E44" s="44"/>
      <c r="F44" s="44"/>
      <c r="G44" s="44"/>
      <c r="H44" s="44"/>
      <c r="I44" s="44"/>
      <c r="J44" s="5"/>
      <c r="K44" s="5"/>
      <c r="L44" s="5"/>
      <c r="M44" s="5"/>
      <c r="N44" s="5"/>
      <c r="O44" s="5"/>
      <c r="P44" s="5"/>
      <c r="Q44" s="5"/>
      <c r="R44" s="5"/>
      <c r="S44" s="1"/>
    </row>
    <row r="45" spans="1:19">
      <c r="A45" s="5"/>
      <c r="B45" s="46"/>
      <c r="C45" s="47" t="s">
        <v>17</v>
      </c>
      <c r="D45" s="48">
        <v>100</v>
      </c>
      <c r="E45" s="49"/>
      <c r="F45" s="49"/>
      <c r="G45" s="49"/>
      <c r="H45" s="49"/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1"/>
    </row>
    <row r="46" spans="1:19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1:19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1:19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1:19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1:19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1:1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1:19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1:19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1:19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1:19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1:19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1:19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1:19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1:19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1:19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1:19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1:19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1:19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1:1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1:19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1:19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1:19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1:19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1:19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1:19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1:19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1:1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1:19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1:19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1:19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1:19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1:19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1:19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spans="1:19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spans="1:19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spans="1:19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spans="1:19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spans="1:19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spans="1:19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spans="1:19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spans="1:19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spans="1: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spans="1:19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spans="1:19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spans="1:19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spans="1:19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spans="1:19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spans="1:19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spans="1:19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spans="1:19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spans="1:19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spans="1:19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spans="1:19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spans="1:19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spans="1:19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spans="1:19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spans="1:19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spans="1:19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spans="1:19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spans="1:19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spans="1:19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spans="1:19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spans="1:19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spans="1:19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spans="1:19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spans="1:19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spans="1:19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spans="1:19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spans="1:19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spans="1:19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spans="1:19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spans="1:19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spans="1:1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spans="1:19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spans="1:19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spans="1:19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spans="1:19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spans="1:1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spans="1:19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spans="1:19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spans="1:19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spans="1:19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spans="1:19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spans="1:19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spans="1:19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spans="1:19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spans="1:19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spans="1:19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spans="1:19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spans="1:19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spans="1:19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spans="1:19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spans="1:19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spans="1:19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spans="1:19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spans="1:19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spans="1:19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spans="1:19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spans="1:19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spans="1:19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spans="1:19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spans="1:1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spans="1:19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spans="1:19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spans="1:1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spans="1:19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spans="1:19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spans="1:19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spans="1:19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spans="1:19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spans="1:19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spans="1:19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spans="1:19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spans="1:1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spans="1:19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spans="1:19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spans="1:1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spans="1:19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spans="1:19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spans="1:19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spans="1:19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spans="1: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spans="1:19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spans="1:19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spans="1:19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spans="1:1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spans="1:19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spans="1:19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spans="1:19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spans="1:19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spans="1:19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spans="1:1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spans="1:19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spans="1:19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spans="1:19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spans="1:19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spans="1:19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spans="1:1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spans="1:19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spans="1:19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9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spans="1:19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spans="1:19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spans="1:19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spans="1:19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spans="1:19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spans="1:19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spans="1:19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spans="1:19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spans="1:19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spans="1:19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spans="1:1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spans="1:19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spans="1:19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spans="1:19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spans="1:19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spans="1:19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spans="1:19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spans="1:19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spans="1:19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spans="1:19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spans="1:1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spans="1:19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spans="1:19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spans="1:19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spans="1:19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spans="1:19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spans="1:19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spans="1:19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spans="1:19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spans="1:19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spans="1:1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spans="1:19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spans="1:19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spans="1:19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spans="1:19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spans="1:19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spans="1:19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spans="1:19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spans="1:19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spans="1:19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spans="1:1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spans="1:19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spans="1:19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spans="1:19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spans="1:19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spans="1:19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spans="1:19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spans="1:19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spans="1:19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spans="1:19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spans="1:1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spans="1:19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spans="1:19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spans="1:19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spans="1:19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spans="1:19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spans="1:19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spans="1:19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spans="1:19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spans="1:19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spans="1: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spans="1:19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spans="1:19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spans="1:19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spans="1:19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spans="1:19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spans="1:19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spans="1:19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spans="1:19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spans="1:19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spans="1:1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spans="1:19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spans="1:19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spans="1:19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spans="1:19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spans="1:19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spans="1:19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spans="1:19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spans="1:19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spans="1:19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spans="1:1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spans="1:19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spans="1:19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spans="1:19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spans="1:19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spans="1:19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spans="1:19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spans="1:19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spans="1:19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spans="1:19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spans="1:1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spans="1:19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spans="1:19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spans="1:19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spans="1:19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spans="1:19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spans="1:19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spans="1:19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spans="1:19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spans="1:1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spans="1:19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spans="1:19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spans="1:19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spans="1:19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spans="1:19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spans="1:19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spans="1:19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spans="1:19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spans="1:19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spans="1:1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spans="1:19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spans="1:19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spans="1:19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spans="1:19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spans="1:19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spans="1:19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spans="1:19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spans="1:19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spans="1:19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spans="1:1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spans="1:19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spans="1:19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spans="1:19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spans="1:19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spans="1:19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spans="1:19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spans="1:19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spans="1:19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spans="1:19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spans="1:1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spans="1:19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spans="1:19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spans="1:19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spans="1:19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spans="1:19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spans="1:19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spans="1:19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spans="1:1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spans="1:19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spans="1:19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spans="1:19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spans="1:19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spans="1:19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spans="1:19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spans="1:19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spans="1:19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spans="1:19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spans="1:1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spans="1:19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spans="1:19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spans="1:19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spans="1:19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spans="1:19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spans="1:19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spans="1:19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spans="1:19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spans="1:1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spans="1:19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spans="1:19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spans="1:19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spans="1:19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spans="1:19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spans="1:19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spans="1:19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spans="1:19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spans="1:1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spans="1:19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spans="1:19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spans="1:19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spans="1:19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spans="1:19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spans="1:19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spans="1:19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spans="1:19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spans="1:19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spans="1:1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spans="1:19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spans="1:19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spans="1:19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spans="1:19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spans="1:19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spans="1:19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spans="1:19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 spans="1:19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 spans="1:19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 spans="1:1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 spans="1:19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 spans="1:19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 spans="1:19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 spans="1:19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1:19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 spans="1:19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 spans="1:19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 spans="1:19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 spans="1:19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 spans="1:1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 spans="1:19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 spans="1:19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 spans="1:19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 spans="1:19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 spans="1:19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 spans="1:19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 spans="1:19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 spans="1:19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 spans="1:19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 spans="1:1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 spans="1:19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 spans="1:19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 spans="1:19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 spans="1:19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 spans="1:19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 spans="1:19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 spans="1:19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</row>
    <row r="1007" spans="1:19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</row>
    <row r="1008" spans="1:19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</row>
    <row r="1009" spans="1:1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</row>
    <row r="1010" spans="1:19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</row>
    <row r="1011" spans="1:19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</row>
    <row r="1012" spans="1:19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</row>
    <row r="1013" spans="1:19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</sheetData>
  <mergeCells count="27">
    <mergeCell ref="Q27:R33"/>
    <mergeCell ref="Q37:R43"/>
    <mergeCell ref="M17:O17"/>
    <mergeCell ref="C26:R26"/>
    <mergeCell ref="C27:C28"/>
    <mergeCell ref="D27:F27"/>
    <mergeCell ref="C36:R36"/>
    <mergeCell ref="C37:C38"/>
    <mergeCell ref="D37:E37"/>
    <mergeCell ref="G17:I17"/>
    <mergeCell ref="J17:L17"/>
    <mergeCell ref="C15:R15"/>
    <mergeCell ref="C16:C18"/>
    <mergeCell ref="D16:I16"/>
    <mergeCell ref="J16:O16"/>
    <mergeCell ref="Q16:R23"/>
    <mergeCell ref="D17:F17"/>
    <mergeCell ref="C2:R2"/>
    <mergeCell ref="C4:R4"/>
    <mergeCell ref="C5:C7"/>
    <mergeCell ref="D5:I5"/>
    <mergeCell ref="J5:O5"/>
    <mergeCell ref="Q5:R12"/>
    <mergeCell ref="D6:F6"/>
    <mergeCell ref="M6:O6"/>
    <mergeCell ref="G6:I6"/>
    <mergeCell ref="J6:L6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5.140625" customWidth="1"/>
    <col min="2" max="2" width="9.28515625" customWidth="1"/>
    <col min="3" max="3" width="27.85546875" customWidth="1"/>
    <col min="4" max="4" width="35" customWidth="1"/>
    <col min="5" max="5" width="32.28515625" customWidth="1"/>
    <col min="6" max="7" width="9.42578125" customWidth="1"/>
    <col min="8" max="8" width="44.140625" customWidth="1"/>
  </cols>
  <sheetData>
    <row r="1" spans="1:25">
      <c r="A1" s="52" t="s">
        <v>30</v>
      </c>
      <c r="B1" s="53" t="s">
        <v>31</v>
      </c>
      <c r="C1" s="54" t="s">
        <v>32</v>
      </c>
      <c r="D1" s="54" t="s">
        <v>33</v>
      </c>
      <c r="E1" s="54" t="s">
        <v>34</v>
      </c>
      <c r="F1" s="55" t="s">
        <v>35</v>
      </c>
      <c r="G1" s="55" t="s">
        <v>36</v>
      </c>
      <c r="H1" s="55" t="s">
        <v>37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>
      <c r="A2" s="56">
        <v>1</v>
      </c>
      <c r="B2" s="57" t="s">
        <v>38</v>
      </c>
      <c r="C2" s="58" t="s">
        <v>39</v>
      </c>
      <c r="D2" s="58" t="s">
        <v>39</v>
      </c>
      <c r="E2" s="58" t="s">
        <v>40</v>
      </c>
      <c r="F2" s="59" t="s">
        <v>41</v>
      </c>
      <c r="G2" s="60" t="s">
        <v>15</v>
      </c>
      <c r="H2" s="3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56">
        <v>2</v>
      </c>
      <c r="B3" s="57" t="s">
        <v>42</v>
      </c>
      <c r="C3" s="58" t="s">
        <v>43</v>
      </c>
      <c r="D3" s="58" t="s">
        <v>43</v>
      </c>
      <c r="E3" s="58" t="s">
        <v>40</v>
      </c>
      <c r="F3" s="59" t="s">
        <v>41</v>
      </c>
      <c r="G3" s="60" t="s">
        <v>15</v>
      </c>
      <c r="H3" s="6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56">
        <v>3</v>
      </c>
      <c r="B4" s="57" t="s">
        <v>44</v>
      </c>
      <c r="C4" s="58" t="s">
        <v>45</v>
      </c>
      <c r="D4" s="58" t="s">
        <v>46</v>
      </c>
      <c r="E4" s="58" t="s">
        <v>47</v>
      </c>
      <c r="F4" s="59" t="s">
        <v>41</v>
      </c>
      <c r="G4" s="60" t="s">
        <v>15</v>
      </c>
      <c r="H4" s="6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56">
        <v>4</v>
      </c>
      <c r="B5" s="57" t="s">
        <v>48</v>
      </c>
      <c r="C5" s="58" t="s">
        <v>49</v>
      </c>
      <c r="D5" s="58" t="s">
        <v>49</v>
      </c>
      <c r="E5" s="58" t="s">
        <v>47</v>
      </c>
      <c r="F5" s="59" t="s">
        <v>41</v>
      </c>
      <c r="G5" s="60" t="s">
        <v>15</v>
      </c>
      <c r="H5" s="6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56">
        <v>5</v>
      </c>
      <c r="B6" s="57" t="s">
        <v>50</v>
      </c>
      <c r="C6" s="58" t="s">
        <v>51</v>
      </c>
      <c r="D6" s="58" t="s">
        <v>51</v>
      </c>
      <c r="E6" s="58" t="s">
        <v>47</v>
      </c>
      <c r="F6" s="59" t="s">
        <v>41</v>
      </c>
      <c r="G6" s="60" t="s">
        <v>15</v>
      </c>
      <c r="H6" s="6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56">
        <v>6</v>
      </c>
      <c r="B7" s="57" t="s">
        <v>52</v>
      </c>
      <c r="C7" s="58" t="s">
        <v>53</v>
      </c>
      <c r="D7" s="58" t="s">
        <v>53</v>
      </c>
      <c r="E7" s="58" t="s">
        <v>47</v>
      </c>
      <c r="F7" s="59" t="s">
        <v>41</v>
      </c>
      <c r="G7" s="60" t="s">
        <v>15</v>
      </c>
      <c r="H7" s="6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56">
        <v>7</v>
      </c>
      <c r="B8" s="57" t="s">
        <v>54</v>
      </c>
      <c r="C8" s="58" t="s">
        <v>55</v>
      </c>
      <c r="D8" s="58" t="s">
        <v>55</v>
      </c>
      <c r="E8" s="58" t="s">
        <v>47</v>
      </c>
      <c r="F8" s="59" t="s">
        <v>41</v>
      </c>
      <c r="G8" s="60" t="s">
        <v>15</v>
      </c>
      <c r="H8" s="6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56">
        <v>8</v>
      </c>
      <c r="B9" s="57" t="s">
        <v>56</v>
      </c>
      <c r="C9" s="58" t="s">
        <v>57</v>
      </c>
      <c r="D9" s="58" t="s">
        <v>57</v>
      </c>
      <c r="E9" s="58" t="s">
        <v>47</v>
      </c>
      <c r="F9" s="59" t="s">
        <v>41</v>
      </c>
      <c r="G9" s="60" t="s">
        <v>15</v>
      </c>
      <c r="H9" s="6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56">
        <v>9</v>
      </c>
      <c r="B10" s="57" t="s">
        <v>58</v>
      </c>
      <c r="C10" s="58" t="s">
        <v>59</v>
      </c>
      <c r="D10" s="58" t="s">
        <v>60</v>
      </c>
      <c r="E10" s="58" t="s">
        <v>47</v>
      </c>
      <c r="F10" s="59" t="s">
        <v>41</v>
      </c>
      <c r="G10" s="60" t="s">
        <v>15</v>
      </c>
      <c r="H10" s="6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56">
        <v>10</v>
      </c>
      <c r="B11" s="57" t="s">
        <v>61</v>
      </c>
      <c r="C11" s="58" t="s">
        <v>62</v>
      </c>
      <c r="D11" s="58" t="s">
        <v>63</v>
      </c>
      <c r="E11" s="58" t="s">
        <v>47</v>
      </c>
      <c r="F11" s="59" t="s">
        <v>41</v>
      </c>
      <c r="G11" s="60" t="s">
        <v>15</v>
      </c>
      <c r="H11" s="6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56">
        <v>11</v>
      </c>
      <c r="B12" s="57" t="s">
        <v>64</v>
      </c>
      <c r="C12" s="58" t="s">
        <v>65</v>
      </c>
      <c r="D12" s="58" t="s">
        <v>65</v>
      </c>
      <c r="E12" s="58" t="s">
        <v>47</v>
      </c>
      <c r="F12" s="59" t="s">
        <v>41</v>
      </c>
      <c r="G12" s="60" t="s">
        <v>15</v>
      </c>
      <c r="H12" s="6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56">
        <v>12</v>
      </c>
      <c r="B13" s="57" t="s">
        <v>66</v>
      </c>
      <c r="C13" s="58" t="s">
        <v>67</v>
      </c>
      <c r="D13" s="58" t="s">
        <v>67</v>
      </c>
      <c r="E13" s="58" t="s">
        <v>47</v>
      </c>
      <c r="F13" s="59" t="s">
        <v>41</v>
      </c>
      <c r="G13" s="60" t="s">
        <v>15</v>
      </c>
      <c r="H13" s="6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56">
        <v>13</v>
      </c>
      <c r="B14" s="57" t="s">
        <v>68</v>
      </c>
      <c r="C14" s="58" t="s">
        <v>69</v>
      </c>
      <c r="D14" s="58" t="s">
        <v>69</v>
      </c>
      <c r="E14" s="58" t="s">
        <v>47</v>
      </c>
      <c r="F14" s="59" t="s">
        <v>41</v>
      </c>
      <c r="G14" s="60" t="s">
        <v>15</v>
      </c>
      <c r="H14" s="6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s="56">
        <v>14</v>
      </c>
      <c r="B15" s="57" t="s">
        <v>70</v>
      </c>
      <c r="C15" s="58" t="s">
        <v>71</v>
      </c>
      <c r="D15" s="58" t="s">
        <v>71</v>
      </c>
      <c r="E15" s="58" t="s">
        <v>47</v>
      </c>
      <c r="F15" s="59" t="s">
        <v>41</v>
      </c>
      <c r="G15" s="60" t="s">
        <v>15</v>
      </c>
      <c r="H15" s="6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>
      <c r="A16" s="56">
        <v>15</v>
      </c>
      <c r="B16" s="57" t="s">
        <v>72</v>
      </c>
      <c r="C16" s="58" t="s">
        <v>73</v>
      </c>
      <c r="D16" s="58" t="s">
        <v>73</v>
      </c>
      <c r="E16" s="58" t="s">
        <v>47</v>
      </c>
      <c r="F16" s="59" t="s">
        <v>41</v>
      </c>
      <c r="G16" s="60" t="s">
        <v>15</v>
      </c>
      <c r="H16" s="6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>
      <c r="A17" s="56">
        <v>16</v>
      </c>
      <c r="B17" s="57" t="s">
        <v>74</v>
      </c>
      <c r="C17" s="58" t="s">
        <v>75</v>
      </c>
      <c r="D17" s="58" t="s">
        <v>75</v>
      </c>
      <c r="E17" s="58" t="s">
        <v>47</v>
      </c>
      <c r="F17" s="59" t="s">
        <v>41</v>
      </c>
      <c r="G17" s="60" t="s">
        <v>15</v>
      </c>
      <c r="H17" s="6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>
      <c r="A18" s="56">
        <v>17</v>
      </c>
      <c r="B18" s="57" t="s">
        <v>76</v>
      </c>
      <c r="C18" s="58" t="s">
        <v>77</v>
      </c>
      <c r="D18" s="58" t="s">
        <v>77</v>
      </c>
      <c r="E18" s="58" t="s">
        <v>47</v>
      </c>
      <c r="F18" s="60" t="s">
        <v>15</v>
      </c>
      <c r="G18" s="60" t="s">
        <v>15</v>
      </c>
      <c r="H18" s="5" t="s">
        <v>78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>
      <c r="A19" s="56">
        <v>18</v>
      </c>
      <c r="B19" s="57" t="s">
        <v>79</v>
      </c>
      <c r="C19" s="58" t="s">
        <v>80</v>
      </c>
      <c r="D19" s="58" t="s">
        <v>81</v>
      </c>
      <c r="E19" s="58" t="s">
        <v>82</v>
      </c>
      <c r="F19" s="59" t="s">
        <v>41</v>
      </c>
      <c r="G19" s="60" t="s">
        <v>15</v>
      </c>
      <c r="H19" s="6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>
      <c r="A20" s="56">
        <v>19</v>
      </c>
      <c r="B20" s="57" t="s">
        <v>83</v>
      </c>
      <c r="C20" s="58" t="s">
        <v>84</v>
      </c>
      <c r="D20" s="58" t="s">
        <v>85</v>
      </c>
      <c r="E20" s="58" t="s">
        <v>47</v>
      </c>
      <c r="F20" s="59" t="s">
        <v>41</v>
      </c>
      <c r="G20" s="60" t="s">
        <v>15</v>
      </c>
      <c r="H20" s="6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>
      <c r="A21" s="56">
        <v>20</v>
      </c>
      <c r="B21" s="57" t="s">
        <v>86</v>
      </c>
      <c r="C21" s="58" t="s">
        <v>87</v>
      </c>
      <c r="D21" s="58" t="s">
        <v>87</v>
      </c>
      <c r="E21" s="58" t="s">
        <v>47</v>
      </c>
      <c r="F21" s="59" t="s">
        <v>41</v>
      </c>
      <c r="G21" s="60" t="s">
        <v>15</v>
      </c>
      <c r="H21" s="6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>
      <c r="A22" s="56">
        <v>21</v>
      </c>
      <c r="B22" s="57" t="s">
        <v>88</v>
      </c>
      <c r="C22" s="58" t="s">
        <v>89</v>
      </c>
      <c r="D22" s="58" t="s">
        <v>89</v>
      </c>
      <c r="E22" s="58" t="s">
        <v>47</v>
      </c>
      <c r="F22" s="59" t="s">
        <v>41</v>
      </c>
      <c r="G22" s="60" t="s">
        <v>15</v>
      </c>
      <c r="H22" s="6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>
      <c r="A23" s="56">
        <v>22</v>
      </c>
      <c r="B23" s="57" t="s">
        <v>90</v>
      </c>
      <c r="C23" s="58" t="s">
        <v>91</v>
      </c>
      <c r="D23" s="58" t="s">
        <v>91</v>
      </c>
      <c r="E23" s="58" t="s">
        <v>47</v>
      </c>
      <c r="F23" s="59" t="s">
        <v>41</v>
      </c>
      <c r="G23" s="60" t="s">
        <v>15</v>
      </c>
      <c r="H23" s="6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>
      <c r="A24" s="56">
        <v>23</v>
      </c>
      <c r="B24" s="57" t="s">
        <v>92</v>
      </c>
      <c r="C24" s="58" t="s">
        <v>93</v>
      </c>
      <c r="D24" s="58" t="s">
        <v>93</v>
      </c>
      <c r="E24" s="58" t="s">
        <v>47</v>
      </c>
      <c r="F24" s="59" t="s">
        <v>41</v>
      </c>
      <c r="G24" s="60" t="s">
        <v>15</v>
      </c>
      <c r="H24" s="6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>
      <c r="A25" s="56">
        <v>24</v>
      </c>
      <c r="B25" s="57" t="s">
        <v>94</v>
      </c>
      <c r="C25" s="58" t="s">
        <v>95</v>
      </c>
      <c r="D25" s="58" t="s">
        <v>95</v>
      </c>
      <c r="E25" s="58" t="s">
        <v>96</v>
      </c>
      <c r="F25" s="59" t="s">
        <v>41</v>
      </c>
      <c r="G25" s="60" t="s">
        <v>15</v>
      </c>
      <c r="H25" s="6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>
      <c r="A26" s="56">
        <v>25</v>
      </c>
      <c r="B26" s="57" t="s">
        <v>97</v>
      </c>
      <c r="C26" s="58" t="s">
        <v>98</v>
      </c>
      <c r="D26" s="58" t="s">
        <v>99</v>
      </c>
      <c r="E26" s="58" t="s">
        <v>100</v>
      </c>
      <c r="F26" s="59" t="s">
        <v>41</v>
      </c>
      <c r="G26" s="60" t="s">
        <v>15</v>
      </c>
      <c r="H26" s="5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>
      <c r="A27" s="56">
        <v>26</v>
      </c>
      <c r="B27" s="57" t="s">
        <v>101</v>
      </c>
      <c r="C27" s="58" t="s">
        <v>102</v>
      </c>
      <c r="D27" s="58" t="s">
        <v>81</v>
      </c>
      <c r="E27" s="58" t="s">
        <v>100</v>
      </c>
      <c r="F27" s="59" t="s">
        <v>41</v>
      </c>
      <c r="G27" s="60" t="s">
        <v>15</v>
      </c>
      <c r="H27" s="5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>
      <c r="A28" s="56">
        <v>27</v>
      </c>
      <c r="B28" s="57" t="s">
        <v>103</v>
      </c>
      <c r="C28" s="58" t="s">
        <v>104</v>
      </c>
      <c r="D28" s="58" t="s">
        <v>105</v>
      </c>
      <c r="E28" s="58" t="s">
        <v>96</v>
      </c>
      <c r="F28" s="59" t="s">
        <v>41</v>
      </c>
      <c r="G28" s="60" t="s">
        <v>15</v>
      </c>
      <c r="H28" s="6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>
      <c r="A29" s="56">
        <v>28</v>
      </c>
      <c r="B29" s="57" t="s">
        <v>106</v>
      </c>
      <c r="C29" s="58" t="s">
        <v>107</v>
      </c>
      <c r="D29" s="58" t="s">
        <v>107</v>
      </c>
      <c r="E29" s="58" t="s">
        <v>108</v>
      </c>
      <c r="F29" s="59" t="s">
        <v>41</v>
      </c>
      <c r="G29" s="60" t="s">
        <v>15</v>
      </c>
      <c r="H29" s="6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>
      <c r="A30" s="56">
        <v>29</v>
      </c>
      <c r="B30" s="62" t="s">
        <v>109</v>
      </c>
      <c r="C30" s="63" t="s">
        <v>110</v>
      </c>
      <c r="D30" s="63" t="s">
        <v>110</v>
      </c>
      <c r="E30" s="63" t="s">
        <v>111</v>
      </c>
      <c r="F30" s="59" t="s">
        <v>41</v>
      </c>
      <c r="G30" s="60" t="s">
        <v>15</v>
      </c>
      <c r="H30" s="3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>
      <c r="A31" s="56"/>
      <c r="B31" s="64"/>
      <c r="C31" s="63"/>
      <c r="D31" s="63"/>
      <c r="E31" s="110"/>
      <c r="F31" s="31"/>
      <c r="G31" s="31"/>
      <c r="H31" s="3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>
      <c r="A32" s="65"/>
      <c r="B32" s="6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>
      <c r="A33" s="65"/>
      <c r="B33" s="6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>
      <c r="A34" s="65"/>
      <c r="B34" s="6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A35" s="65"/>
      <c r="B35" s="6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>
      <c r="A36" s="65"/>
      <c r="B36" s="6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>
      <c r="A37" s="65"/>
      <c r="B37" s="6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65"/>
      <c r="B38" s="6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65"/>
      <c r="B39" s="6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65"/>
      <c r="B40" s="6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65"/>
      <c r="B41" s="6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65"/>
      <c r="B42" s="6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65"/>
      <c r="B43" s="6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65"/>
      <c r="B44" s="6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>
      <c r="A45" s="65"/>
      <c r="B45" s="6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>
      <c r="A46" s="65"/>
      <c r="B46" s="6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>
      <c r="A47" s="65"/>
      <c r="B47" s="6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>
      <c r="A48" s="65"/>
      <c r="B48" s="6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>
      <c r="A49" s="65"/>
      <c r="B49" s="6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>
      <c r="A50" s="65"/>
      <c r="B50" s="6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>
      <c r="A51" s="65"/>
      <c r="B51" s="6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>
      <c r="A52" s="65"/>
      <c r="B52" s="6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>
      <c r="A53" s="65"/>
      <c r="B53" s="6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>
      <c r="A54" s="65"/>
      <c r="B54" s="6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>
      <c r="A55" s="65"/>
      <c r="B55" s="6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>
      <c r="A56" s="65"/>
      <c r="B56" s="6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65"/>
      <c r="B57" s="6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65"/>
      <c r="B58" s="6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>
      <c r="A59" s="65"/>
      <c r="B59" s="6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65"/>
      <c r="B60" s="6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>
      <c r="A61" s="65"/>
      <c r="B61" s="6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>
      <c r="A62" s="65"/>
      <c r="B62" s="6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>
      <c r="A63" s="65"/>
      <c r="B63" s="6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>
      <c r="A64" s="65"/>
      <c r="B64" s="6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>
      <c r="A65" s="65"/>
      <c r="B65" s="6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>
      <c r="A66" s="65"/>
      <c r="B66" s="6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>
      <c r="A67" s="65"/>
      <c r="B67" s="6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>
      <c r="A68" s="65"/>
      <c r="B68" s="6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>
      <c r="A69" s="65"/>
      <c r="B69" s="6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>
      <c r="A70" s="65"/>
      <c r="B70" s="6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>
      <c r="A71" s="65"/>
      <c r="B71" s="6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>
      <c r="A72" s="65"/>
      <c r="B72" s="6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>
      <c r="A73" s="65"/>
      <c r="B73" s="6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>
      <c r="A74" s="65"/>
      <c r="B74" s="6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>
      <c r="A75" s="65"/>
      <c r="B75" s="6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>
      <c r="A76" s="65"/>
      <c r="B76" s="6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>
      <c r="A77" s="65"/>
      <c r="B77" s="6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>
      <c r="A78" s="65"/>
      <c r="B78" s="6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>
      <c r="A79" s="65"/>
      <c r="B79" s="6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>
      <c r="A80" s="65"/>
      <c r="B80" s="6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>
      <c r="A81" s="65"/>
      <c r="B81" s="6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>
      <c r="A82" s="65"/>
      <c r="B82" s="6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>
      <c r="A83" s="65"/>
      <c r="B83" s="6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>
      <c r="A84" s="65"/>
      <c r="B84" s="6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>
      <c r="A85" s="65"/>
      <c r="B85" s="6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>
      <c r="A86" s="65"/>
      <c r="B86" s="6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>
      <c r="A87" s="65"/>
      <c r="B87" s="6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>
      <c r="A88" s="65"/>
      <c r="B88" s="6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>
      <c r="A89" s="65"/>
      <c r="B89" s="6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>
      <c r="A90" s="65"/>
      <c r="B90" s="6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>
      <c r="A91" s="65"/>
      <c r="B91" s="6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>
      <c r="A92" s="65"/>
      <c r="B92" s="6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>
      <c r="A93" s="65"/>
      <c r="B93" s="6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>
      <c r="A94" s="65"/>
      <c r="B94" s="6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>
      <c r="A95" s="65"/>
      <c r="B95" s="6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>
      <c r="A96" s="65"/>
      <c r="B96" s="6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>
      <c r="A97" s="65"/>
      <c r="B97" s="6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>
      <c r="A98" s="65"/>
      <c r="B98" s="6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>
      <c r="A99" s="65"/>
      <c r="B99" s="6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>
      <c r="A100" s="65"/>
      <c r="B100" s="6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>
      <c r="A101" s="65"/>
      <c r="B101" s="6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>
      <c r="A102" s="65"/>
      <c r="B102" s="6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>
      <c r="A103" s="65"/>
      <c r="B103" s="6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>
      <c r="A104" s="65"/>
      <c r="B104" s="6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>
      <c r="A105" s="65"/>
      <c r="B105" s="6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65"/>
      <c r="B106" s="6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65"/>
      <c r="B107" s="6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65"/>
      <c r="B108" s="6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65"/>
      <c r="B109" s="6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65"/>
      <c r="B110" s="6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65"/>
      <c r="B111" s="6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65"/>
      <c r="B112" s="6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65"/>
      <c r="B113" s="6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65"/>
      <c r="B114" s="6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65"/>
      <c r="B115" s="6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65"/>
      <c r="B116" s="6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65"/>
      <c r="B117" s="6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65"/>
      <c r="B118" s="6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65"/>
      <c r="B119" s="6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65"/>
      <c r="B120" s="6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65"/>
      <c r="B121" s="6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65"/>
      <c r="B122" s="6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65"/>
      <c r="B123" s="6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65"/>
      <c r="B124" s="6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65"/>
      <c r="B125" s="6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65"/>
      <c r="B126" s="6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65"/>
      <c r="B127" s="6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65"/>
      <c r="B128" s="6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65"/>
      <c r="B129" s="6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65"/>
      <c r="B130" s="6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65"/>
      <c r="B131" s="6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65"/>
      <c r="B132" s="6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65"/>
      <c r="B133" s="6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65"/>
      <c r="B134" s="6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65"/>
      <c r="B135" s="6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65"/>
      <c r="B136" s="6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65"/>
      <c r="B137" s="6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65"/>
      <c r="B138" s="6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65"/>
      <c r="B139" s="6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65"/>
      <c r="B140" s="6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65"/>
      <c r="B141" s="6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65"/>
      <c r="B142" s="6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65"/>
      <c r="B143" s="6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65"/>
      <c r="B144" s="6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65"/>
      <c r="B145" s="6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65"/>
      <c r="B146" s="6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65"/>
      <c r="B147" s="6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65"/>
      <c r="B148" s="6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65"/>
      <c r="B149" s="6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65"/>
      <c r="B150" s="6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65"/>
      <c r="B151" s="6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65"/>
      <c r="B152" s="6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65"/>
      <c r="B153" s="6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65"/>
      <c r="B154" s="6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65"/>
      <c r="B155" s="6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65"/>
      <c r="B156" s="6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65"/>
      <c r="B157" s="6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65"/>
      <c r="B158" s="6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65"/>
      <c r="B159" s="6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65"/>
      <c r="B160" s="6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65"/>
      <c r="B161" s="6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65"/>
      <c r="B162" s="6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65"/>
      <c r="B163" s="6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65"/>
      <c r="B164" s="6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65"/>
      <c r="B165" s="6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65"/>
      <c r="B166" s="6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65"/>
      <c r="B167" s="6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65"/>
      <c r="B168" s="6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65"/>
      <c r="B169" s="6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65"/>
      <c r="B170" s="6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65"/>
      <c r="B171" s="6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65"/>
      <c r="B172" s="6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65"/>
      <c r="B173" s="6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65"/>
      <c r="B174" s="6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65"/>
      <c r="B175" s="6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65"/>
      <c r="B176" s="6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65"/>
      <c r="B177" s="6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65"/>
      <c r="B178" s="6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65"/>
      <c r="B179" s="6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65"/>
      <c r="B180" s="6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65"/>
      <c r="B181" s="6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65"/>
      <c r="B182" s="6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65"/>
      <c r="B183" s="6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65"/>
      <c r="B184" s="6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65"/>
      <c r="B185" s="6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65"/>
      <c r="B186" s="6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65"/>
      <c r="B187" s="6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65"/>
      <c r="B188" s="6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65"/>
      <c r="B189" s="6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65"/>
      <c r="B190" s="6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65"/>
      <c r="B191" s="6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65"/>
      <c r="B192" s="6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65"/>
      <c r="B193" s="6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65"/>
      <c r="B194" s="6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65"/>
      <c r="B195" s="6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65"/>
      <c r="B196" s="6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65"/>
      <c r="B197" s="6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65"/>
      <c r="B198" s="6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65"/>
      <c r="B199" s="6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65"/>
      <c r="B200" s="6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>
      <c r="A201" s="65"/>
      <c r="B201" s="6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>
      <c r="A202" s="65"/>
      <c r="B202" s="6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>
      <c r="A203" s="65"/>
      <c r="B203" s="6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65"/>
      <c r="B204" s="6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>
      <c r="A205" s="65"/>
      <c r="B205" s="6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65"/>
      <c r="B206" s="6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>
      <c r="A207" s="65"/>
      <c r="B207" s="6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>
      <c r="A208" s="65"/>
      <c r="B208" s="6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>
      <c r="A209" s="65"/>
      <c r="B209" s="6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>
      <c r="A210" s="65"/>
      <c r="B210" s="6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>
      <c r="A211" s="65"/>
      <c r="B211" s="6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65"/>
      <c r="B212" s="6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65"/>
      <c r="B213" s="6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>
      <c r="A214" s="65"/>
      <c r="B214" s="6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65"/>
      <c r="B215" s="6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>
      <c r="A216" s="65"/>
      <c r="B216" s="6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65"/>
      <c r="B217" s="6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65"/>
      <c r="B218" s="6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65"/>
      <c r="B219" s="6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>
      <c r="A220" s="65"/>
      <c r="B220" s="6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>
      <c r="A221" s="65"/>
      <c r="B221" s="6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>
      <c r="A222" s="65"/>
      <c r="B222" s="6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>
      <c r="A223" s="65"/>
      <c r="B223" s="6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>
      <c r="A224" s="65"/>
      <c r="B224" s="6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>
      <c r="A225" s="65"/>
      <c r="B225" s="6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>
      <c r="A226" s="65"/>
      <c r="B226" s="6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>
      <c r="A227" s="65"/>
      <c r="B227" s="6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>
      <c r="A228" s="65"/>
      <c r="B228" s="6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>
      <c r="A229" s="65"/>
      <c r="B229" s="6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>
      <c r="A230" s="65"/>
      <c r="B230" s="6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>
      <c r="A231" s="65"/>
      <c r="B231" s="6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>
      <c r="A232" s="65"/>
      <c r="B232" s="6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65"/>
      <c r="B233" s="6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>
      <c r="A234" s="65"/>
      <c r="B234" s="6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65"/>
      <c r="B235" s="6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65"/>
      <c r="B236" s="6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65"/>
      <c r="B237" s="6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>
      <c r="A238" s="65"/>
      <c r="B238" s="6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>
      <c r="A239" s="65"/>
      <c r="B239" s="6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>
      <c r="A240" s="65"/>
      <c r="B240" s="6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>
      <c r="A241" s="65"/>
      <c r="B241" s="6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>
      <c r="A242" s="65"/>
      <c r="B242" s="6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>
      <c r="A243" s="65"/>
      <c r="B243" s="6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>
      <c r="A244" s="65"/>
      <c r="B244" s="6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>
      <c r="A245" s="65"/>
      <c r="B245" s="6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>
      <c r="A246" s="65"/>
      <c r="B246" s="6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>
      <c r="A247" s="65"/>
      <c r="B247" s="6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>
      <c r="A248" s="65"/>
      <c r="B248" s="6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>
      <c r="A249" s="65"/>
      <c r="B249" s="6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>
      <c r="A250" s="65"/>
      <c r="B250" s="6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>
      <c r="A251" s="65"/>
      <c r="B251" s="6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>
      <c r="A252" s="65"/>
      <c r="B252" s="6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>
      <c r="A253" s="65"/>
      <c r="B253" s="6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>
      <c r="A254" s="65"/>
      <c r="B254" s="6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>
      <c r="A255" s="65"/>
      <c r="B255" s="6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>
      <c r="A256" s="65"/>
      <c r="B256" s="6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>
      <c r="A257" s="65"/>
      <c r="B257" s="6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>
      <c r="A258" s="65"/>
      <c r="B258" s="6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>
      <c r="A259" s="65"/>
      <c r="B259" s="6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>
      <c r="A260" s="65"/>
      <c r="B260" s="6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>
      <c r="A261" s="65"/>
      <c r="B261" s="6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>
      <c r="A262" s="65"/>
      <c r="B262" s="6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>
      <c r="A263" s="65"/>
      <c r="B263" s="6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>
      <c r="A264" s="65"/>
      <c r="B264" s="6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>
      <c r="A265" s="65"/>
      <c r="B265" s="6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>
      <c r="A266" s="65"/>
      <c r="B266" s="6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>
      <c r="A267" s="65"/>
      <c r="B267" s="6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>
      <c r="A268" s="65"/>
      <c r="B268" s="6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>
      <c r="A269" s="65"/>
      <c r="B269" s="6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>
      <c r="A270" s="65"/>
      <c r="B270" s="6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>
      <c r="A271" s="65"/>
      <c r="B271" s="6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>
      <c r="A272" s="65"/>
      <c r="B272" s="6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>
      <c r="A273" s="65"/>
      <c r="B273" s="6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>
      <c r="A274" s="65"/>
      <c r="B274" s="6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>
      <c r="A275" s="65"/>
      <c r="B275" s="6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>
      <c r="A276" s="65"/>
      <c r="B276" s="6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>
      <c r="A277" s="65"/>
      <c r="B277" s="6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>
      <c r="A278" s="65"/>
      <c r="B278" s="6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>
      <c r="A279" s="65"/>
      <c r="B279" s="6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>
      <c r="A280" s="65"/>
      <c r="B280" s="6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>
      <c r="A281" s="65"/>
      <c r="B281" s="6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>
      <c r="A282" s="65"/>
      <c r="B282" s="6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>
      <c r="A283" s="65"/>
      <c r="B283" s="6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>
      <c r="A284" s="65"/>
      <c r="B284" s="6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>
      <c r="A285" s="65"/>
      <c r="B285" s="6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>
      <c r="A286" s="65"/>
      <c r="B286" s="6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>
      <c r="A287" s="65"/>
      <c r="B287" s="6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>
      <c r="A288" s="65"/>
      <c r="B288" s="6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>
      <c r="A289" s="65"/>
      <c r="B289" s="6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>
      <c r="A290" s="65"/>
      <c r="B290" s="6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>
      <c r="A291" s="65"/>
      <c r="B291" s="6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>
      <c r="A292" s="65"/>
      <c r="B292" s="6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>
      <c r="A293" s="65"/>
      <c r="B293" s="6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>
      <c r="A294" s="65"/>
      <c r="B294" s="6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>
      <c r="A295" s="65"/>
      <c r="B295" s="6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>
      <c r="A296" s="65"/>
      <c r="B296" s="6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>
      <c r="A297" s="65"/>
      <c r="B297" s="6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>
      <c r="A298" s="65"/>
      <c r="B298" s="6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>
      <c r="A299" s="65"/>
      <c r="B299" s="6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>
      <c r="A300" s="65"/>
      <c r="B300" s="6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>
      <c r="A301" s="65"/>
      <c r="B301" s="6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>
      <c r="A302" s="65"/>
      <c r="B302" s="6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>
      <c r="A303" s="65"/>
      <c r="B303" s="6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>
      <c r="A304" s="65"/>
      <c r="B304" s="6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>
      <c r="A305" s="65"/>
      <c r="B305" s="6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>
      <c r="A306" s="65"/>
      <c r="B306" s="6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>
      <c r="A307" s="65"/>
      <c r="B307" s="6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>
      <c r="A308" s="65"/>
      <c r="B308" s="6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>
      <c r="A309" s="65"/>
      <c r="B309" s="6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>
      <c r="A310" s="65"/>
      <c r="B310" s="6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>
      <c r="A311" s="65"/>
      <c r="B311" s="6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>
      <c r="A312" s="65"/>
      <c r="B312" s="6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>
      <c r="A313" s="65"/>
      <c r="B313" s="6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>
      <c r="A314" s="65"/>
      <c r="B314" s="6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>
      <c r="A315" s="65"/>
      <c r="B315" s="6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>
      <c r="A316" s="65"/>
      <c r="B316" s="6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>
      <c r="A317" s="65"/>
      <c r="B317" s="6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>
      <c r="A318" s="65"/>
      <c r="B318" s="6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>
      <c r="A319" s="65"/>
      <c r="B319" s="6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>
      <c r="A320" s="65"/>
      <c r="B320" s="6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>
      <c r="A321" s="65"/>
      <c r="B321" s="6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>
      <c r="A322" s="65"/>
      <c r="B322" s="6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>
      <c r="A323" s="65"/>
      <c r="B323" s="6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>
      <c r="A324" s="65"/>
      <c r="B324" s="6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>
      <c r="A325" s="65"/>
      <c r="B325" s="6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>
      <c r="A326" s="65"/>
      <c r="B326" s="6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>
      <c r="A327" s="65"/>
      <c r="B327" s="6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>
      <c r="A328" s="65"/>
      <c r="B328" s="6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>
      <c r="A329" s="65"/>
      <c r="B329" s="6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>
      <c r="A330" s="65"/>
      <c r="B330" s="6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>
      <c r="A331" s="65"/>
      <c r="B331" s="6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>
      <c r="A332" s="65"/>
      <c r="B332" s="6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>
      <c r="A333" s="65"/>
      <c r="B333" s="6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>
      <c r="A334" s="65"/>
      <c r="B334" s="6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>
      <c r="A335" s="65"/>
      <c r="B335" s="6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>
      <c r="A336" s="65"/>
      <c r="B336" s="6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>
      <c r="A337" s="65"/>
      <c r="B337" s="6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>
      <c r="A338" s="65"/>
      <c r="B338" s="6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>
      <c r="A339" s="65"/>
      <c r="B339" s="6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>
      <c r="A340" s="65"/>
      <c r="B340" s="6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>
      <c r="A341" s="65"/>
      <c r="B341" s="6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>
      <c r="A342" s="65"/>
      <c r="B342" s="6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>
      <c r="A343" s="65"/>
      <c r="B343" s="6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>
      <c r="A344" s="65"/>
      <c r="B344" s="6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>
      <c r="A345" s="65"/>
      <c r="B345" s="6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>
      <c r="A346" s="65"/>
      <c r="B346" s="6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>
      <c r="A347" s="65"/>
      <c r="B347" s="6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>
      <c r="A348" s="65"/>
      <c r="B348" s="6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>
      <c r="A349" s="65"/>
      <c r="B349" s="6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>
      <c r="A350" s="65"/>
      <c r="B350" s="6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>
      <c r="A351" s="65"/>
      <c r="B351" s="6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>
      <c r="A352" s="65"/>
      <c r="B352" s="6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>
      <c r="A353" s="65"/>
      <c r="B353" s="6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65"/>
      <c r="B354" s="6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>
      <c r="A355" s="65"/>
      <c r="B355" s="6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>
      <c r="A356" s="65"/>
      <c r="B356" s="6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>
      <c r="A357" s="65"/>
      <c r="B357" s="6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>
      <c r="A358" s="65"/>
      <c r="B358" s="6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>
      <c r="A359" s="65"/>
      <c r="B359" s="6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>
      <c r="A360" s="65"/>
      <c r="B360" s="6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>
      <c r="A361" s="65"/>
      <c r="B361" s="6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>
      <c r="A362" s="65"/>
      <c r="B362" s="6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>
      <c r="A363" s="65"/>
      <c r="B363" s="6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>
      <c r="A364" s="65"/>
      <c r="B364" s="6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>
      <c r="A365" s="65"/>
      <c r="B365" s="6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>
      <c r="A366" s="65"/>
      <c r="B366" s="6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>
      <c r="A367" s="65"/>
      <c r="B367" s="6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>
      <c r="A368" s="65"/>
      <c r="B368" s="6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>
      <c r="A369" s="65"/>
      <c r="B369" s="6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>
      <c r="A370" s="65"/>
      <c r="B370" s="6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>
      <c r="A371" s="65"/>
      <c r="B371" s="6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>
      <c r="A372" s="65"/>
      <c r="B372" s="6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>
      <c r="A373" s="65"/>
      <c r="B373" s="6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>
      <c r="A374" s="65"/>
      <c r="B374" s="6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>
      <c r="A375" s="65"/>
      <c r="B375" s="6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>
      <c r="A376" s="65"/>
      <c r="B376" s="6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>
      <c r="A377" s="65"/>
      <c r="B377" s="6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65"/>
      <c r="B378" s="6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>
      <c r="A379" s="65"/>
      <c r="B379" s="6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65"/>
      <c r="B380" s="6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>
      <c r="A381" s="65"/>
      <c r="B381" s="6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65"/>
      <c r="B382" s="6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65"/>
      <c r="B383" s="6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>
      <c r="A384" s="65"/>
      <c r="B384" s="6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65"/>
      <c r="B385" s="6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>
      <c r="A386" s="65"/>
      <c r="B386" s="6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>
      <c r="A387" s="65"/>
      <c r="B387" s="6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>
      <c r="A388" s="65"/>
      <c r="B388" s="6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>
      <c r="A389" s="65"/>
      <c r="B389" s="6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>
      <c r="A390" s="65"/>
      <c r="B390" s="6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>
      <c r="A391" s="65"/>
      <c r="B391" s="6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>
      <c r="A392" s="65"/>
      <c r="B392" s="6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>
      <c r="A393" s="65"/>
      <c r="B393" s="6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>
      <c r="A394" s="65"/>
      <c r="B394" s="6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>
      <c r="A395" s="65"/>
      <c r="B395" s="6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>
      <c r="A396" s="65"/>
      <c r="B396" s="6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>
      <c r="A397" s="65"/>
      <c r="B397" s="6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>
      <c r="A398" s="65"/>
      <c r="B398" s="6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>
      <c r="A399" s="65"/>
      <c r="B399" s="6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>
      <c r="A400" s="65"/>
      <c r="B400" s="6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>
      <c r="A401" s="65"/>
      <c r="B401" s="6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>
      <c r="A402" s="65"/>
      <c r="B402" s="6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>
      <c r="A403" s="65"/>
      <c r="B403" s="6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>
      <c r="A404" s="65"/>
      <c r="B404" s="6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>
      <c r="A405" s="65"/>
      <c r="B405" s="6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>
      <c r="A406" s="65"/>
      <c r="B406" s="6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>
      <c r="A407" s="65"/>
      <c r="B407" s="6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>
      <c r="A408" s="65"/>
      <c r="B408" s="6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>
      <c r="A409" s="65"/>
      <c r="B409" s="6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>
      <c r="A410" s="65"/>
      <c r="B410" s="6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>
      <c r="A411" s="65"/>
      <c r="B411" s="6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>
      <c r="A412" s="65"/>
      <c r="B412" s="6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>
      <c r="A413" s="65"/>
      <c r="B413" s="6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>
      <c r="A414" s="65"/>
      <c r="B414" s="6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>
      <c r="A415" s="65"/>
      <c r="B415" s="6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>
      <c r="A416" s="65"/>
      <c r="B416" s="6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>
      <c r="A417" s="65"/>
      <c r="B417" s="6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>
      <c r="A418" s="65"/>
      <c r="B418" s="6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>
      <c r="A419" s="65"/>
      <c r="B419" s="6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>
      <c r="A420" s="65"/>
      <c r="B420" s="6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>
      <c r="A421" s="65"/>
      <c r="B421" s="6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>
      <c r="A422" s="65"/>
      <c r="B422" s="6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>
      <c r="A423" s="65"/>
      <c r="B423" s="6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>
      <c r="A424" s="65"/>
      <c r="B424" s="6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>
      <c r="A425" s="65"/>
      <c r="B425" s="6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>
      <c r="A426" s="65"/>
      <c r="B426" s="6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>
      <c r="A427" s="65"/>
      <c r="B427" s="6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>
      <c r="A428" s="65"/>
      <c r="B428" s="6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>
      <c r="A429" s="65"/>
      <c r="B429" s="6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>
      <c r="A430" s="65"/>
      <c r="B430" s="6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>
      <c r="A431" s="65"/>
      <c r="B431" s="6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>
      <c r="A432" s="65"/>
      <c r="B432" s="6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>
      <c r="A433" s="65"/>
      <c r="B433" s="6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>
      <c r="A434" s="65"/>
      <c r="B434" s="6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>
      <c r="A435" s="65"/>
      <c r="B435" s="6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>
      <c r="A436" s="65"/>
      <c r="B436" s="6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>
      <c r="A437" s="65"/>
      <c r="B437" s="6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>
      <c r="A438" s="65"/>
      <c r="B438" s="6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>
      <c r="A439" s="65"/>
      <c r="B439" s="6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>
      <c r="A440" s="65"/>
      <c r="B440" s="6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>
      <c r="A441" s="65"/>
      <c r="B441" s="6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>
      <c r="A442" s="65"/>
      <c r="B442" s="6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>
      <c r="A443" s="65"/>
      <c r="B443" s="6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>
      <c r="A444" s="65"/>
      <c r="B444" s="6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>
      <c r="A445" s="65"/>
      <c r="B445" s="6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>
      <c r="A446" s="65"/>
      <c r="B446" s="6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>
      <c r="A447" s="65"/>
      <c r="B447" s="6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>
      <c r="A448" s="65"/>
      <c r="B448" s="6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>
      <c r="A449" s="65"/>
      <c r="B449" s="6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>
      <c r="A450" s="65"/>
      <c r="B450" s="6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>
      <c r="A451" s="65"/>
      <c r="B451" s="6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>
      <c r="A452" s="65"/>
      <c r="B452" s="6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>
      <c r="A453" s="65"/>
      <c r="B453" s="6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>
      <c r="A454" s="65"/>
      <c r="B454" s="6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>
      <c r="A455" s="65"/>
      <c r="B455" s="6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>
      <c r="A456" s="65"/>
      <c r="B456" s="6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>
      <c r="A457" s="65"/>
      <c r="B457" s="6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>
      <c r="A458" s="65"/>
      <c r="B458" s="6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>
      <c r="A459" s="65"/>
      <c r="B459" s="6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>
      <c r="A460" s="65"/>
      <c r="B460" s="6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>
      <c r="A461" s="65"/>
      <c r="B461" s="6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>
      <c r="A462" s="65"/>
      <c r="B462" s="6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>
      <c r="A463" s="65"/>
      <c r="B463" s="6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>
      <c r="A464" s="65"/>
      <c r="B464" s="6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>
      <c r="A465" s="65"/>
      <c r="B465" s="6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>
      <c r="A466" s="65"/>
      <c r="B466" s="6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>
      <c r="A467" s="65"/>
      <c r="B467" s="6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>
      <c r="A468" s="65"/>
      <c r="B468" s="6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>
      <c r="A469" s="65"/>
      <c r="B469" s="6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>
      <c r="A470" s="65"/>
      <c r="B470" s="6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>
      <c r="A471" s="65"/>
      <c r="B471" s="6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>
      <c r="A472" s="65"/>
      <c r="B472" s="6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>
      <c r="A473" s="65"/>
      <c r="B473" s="6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>
      <c r="A474" s="65"/>
      <c r="B474" s="6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>
      <c r="A475" s="65"/>
      <c r="B475" s="6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>
      <c r="A476" s="65"/>
      <c r="B476" s="6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>
      <c r="A477" s="65"/>
      <c r="B477" s="6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>
      <c r="A478" s="65"/>
      <c r="B478" s="6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>
      <c r="A479" s="65"/>
      <c r="B479" s="6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>
      <c r="A480" s="65"/>
      <c r="B480" s="6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>
      <c r="A481" s="65"/>
      <c r="B481" s="6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>
      <c r="A482" s="65"/>
      <c r="B482" s="6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>
      <c r="A483" s="65"/>
      <c r="B483" s="6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>
      <c r="A484" s="65"/>
      <c r="B484" s="6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>
      <c r="A485" s="65"/>
      <c r="B485" s="6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>
      <c r="A486" s="65"/>
      <c r="B486" s="6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>
      <c r="A487" s="65"/>
      <c r="B487" s="6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>
      <c r="A488" s="65"/>
      <c r="B488" s="6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>
      <c r="A489" s="65"/>
      <c r="B489" s="6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>
      <c r="A490" s="65"/>
      <c r="B490" s="6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>
      <c r="A491" s="65"/>
      <c r="B491" s="6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>
      <c r="A492" s="65"/>
      <c r="B492" s="6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>
      <c r="A493" s="65"/>
      <c r="B493" s="6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>
      <c r="A494" s="65"/>
      <c r="B494" s="6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>
      <c r="A495" s="65"/>
      <c r="B495" s="6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>
      <c r="A496" s="65"/>
      <c r="B496" s="6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>
      <c r="A497" s="65"/>
      <c r="B497" s="6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>
      <c r="A498" s="65"/>
      <c r="B498" s="6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>
      <c r="A499" s="65"/>
      <c r="B499" s="6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>
      <c r="A500" s="65"/>
      <c r="B500" s="6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>
      <c r="A501" s="65"/>
      <c r="B501" s="6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>
      <c r="A502" s="65"/>
      <c r="B502" s="6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>
      <c r="A503" s="65"/>
      <c r="B503" s="6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>
      <c r="A504" s="65"/>
      <c r="B504" s="6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>
      <c r="A505" s="65"/>
      <c r="B505" s="6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>
      <c r="A506" s="65"/>
      <c r="B506" s="6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>
      <c r="A507" s="65"/>
      <c r="B507" s="6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>
      <c r="A508" s="65"/>
      <c r="B508" s="6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>
      <c r="A509" s="65"/>
      <c r="B509" s="6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>
      <c r="A510" s="65"/>
      <c r="B510" s="6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>
      <c r="A511" s="65"/>
      <c r="B511" s="6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>
      <c r="A512" s="65"/>
      <c r="B512" s="6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>
      <c r="A513" s="65"/>
      <c r="B513" s="6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>
      <c r="A514" s="65"/>
      <c r="B514" s="6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>
      <c r="A515" s="65"/>
      <c r="B515" s="6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>
      <c r="A516" s="65"/>
      <c r="B516" s="6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>
      <c r="A517" s="65"/>
      <c r="B517" s="6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>
      <c r="A518" s="65"/>
      <c r="B518" s="6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>
      <c r="A519" s="65"/>
      <c r="B519" s="6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>
      <c r="A520" s="65"/>
      <c r="B520" s="6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>
      <c r="A521" s="65"/>
      <c r="B521" s="6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>
      <c r="A522" s="65"/>
      <c r="B522" s="6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>
      <c r="A523" s="65"/>
      <c r="B523" s="6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>
      <c r="A524" s="65"/>
      <c r="B524" s="6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>
      <c r="A525" s="65"/>
      <c r="B525" s="6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>
      <c r="A526" s="65"/>
      <c r="B526" s="6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>
      <c r="A527" s="65"/>
      <c r="B527" s="6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>
      <c r="A528" s="65"/>
      <c r="B528" s="6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>
      <c r="A529" s="65"/>
      <c r="B529" s="6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>
      <c r="A530" s="65"/>
      <c r="B530" s="6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>
      <c r="A531" s="65"/>
      <c r="B531" s="6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>
      <c r="A532" s="65"/>
      <c r="B532" s="6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>
      <c r="A533" s="65"/>
      <c r="B533" s="6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>
      <c r="A534" s="65"/>
      <c r="B534" s="6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>
      <c r="A535" s="65"/>
      <c r="B535" s="6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>
      <c r="A536" s="65"/>
      <c r="B536" s="6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>
      <c r="A537" s="65"/>
      <c r="B537" s="6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>
      <c r="A538" s="65"/>
      <c r="B538" s="6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>
      <c r="A539" s="65"/>
      <c r="B539" s="6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>
      <c r="A540" s="65"/>
      <c r="B540" s="6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>
      <c r="A541" s="65"/>
      <c r="B541" s="6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>
      <c r="A542" s="65"/>
      <c r="B542" s="6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>
      <c r="A543" s="65"/>
      <c r="B543" s="6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>
      <c r="A544" s="65"/>
      <c r="B544" s="6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>
      <c r="A545" s="65"/>
      <c r="B545" s="6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>
      <c r="A546" s="65"/>
      <c r="B546" s="6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>
      <c r="A547" s="65"/>
      <c r="B547" s="6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>
      <c r="A548" s="65"/>
      <c r="B548" s="6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>
      <c r="A549" s="65"/>
      <c r="B549" s="6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>
      <c r="A550" s="65"/>
      <c r="B550" s="6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>
      <c r="A551" s="65"/>
      <c r="B551" s="6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>
      <c r="A552" s="65"/>
      <c r="B552" s="6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>
      <c r="A553" s="65"/>
      <c r="B553" s="6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>
      <c r="A554" s="65"/>
      <c r="B554" s="6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>
      <c r="A555" s="65"/>
      <c r="B555" s="6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>
      <c r="A556" s="65"/>
      <c r="B556" s="6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>
      <c r="A557" s="65"/>
      <c r="B557" s="6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>
      <c r="A558" s="65"/>
      <c r="B558" s="6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>
      <c r="A559" s="65"/>
      <c r="B559" s="6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>
      <c r="A560" s="65"/>
      <c r="B560" s="6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>
      <c r="A561" s="65"/>
      <c r="B561" s="6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>
      <c r="A562" s="65"/>
      <c r="B562" s="6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>
      <c r="A563" s="65"/>
      <c r="B563" s="6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>
      <c r="A564" s="65"/>
      <c r="B564" s="6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>
      <c r="A565" s="65"/>
      <c r="B565" s="6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>
      <c r="A566" s="65"/>
      <c r="B566" s="6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>
      <c r="A567" s="65"/>
      <c r="B567" s="6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>
      <c r="A568" s="65"/>
      <c r="B568" s="6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>
      <c r="A569" s="65"/>
      <c r="B569" s="6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>
      <c r="A570" s="65"/>
      <c r="B570" s="6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>
      <c r="A571" s="65"/>
      <c r="B571" s="6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>
      <c r="A572" s="65"/>
      <c r="B572" s="6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>
      <c r="A573" s="65"/>
      <c r="B573" s="6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>
      <c r="A574" s="65"/>
      <c r="B574" s="6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>
      <c r="A575" s="65"/>
      <c r="B575" s="6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>
      <c r="A576" s="65"/>
      <c r="B576" s="6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>
      <c r="A577" s="65"/>
      <c r="B577" s="6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>
      <c r="A578" s="65"/>
      <c r="B578" s="6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>
      <c r="A579" s="65"/>
      <c r="B579" s="6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>
      <c r="A580" s="65"/>
      <c r="B580" s="6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>
      <c r="A581" s="65"/>
      <c r="B581" s="6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>
      <c r="A582" s="65"/>
      <c r="B582" s="6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>
      <c r="A583" s="65"/>
      <c r="B583" s="6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>
      <c r="A584" s="65"/>
      <c r="B584" s="6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>
      <c r="A585" s="65"/>
      <c r="B585" s="6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>
      <c r="A586" s="65"/>
      <c r="B586" s="6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>
      <c r="A587" s="65"/>
      <c r="B587" s="6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>
      <c r="A588" s="65"/>
      <c r="B588" s="6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>
      <c r="A589" s="65"/>
      <c r="B589" s="6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>
      <c r="A590" s="65"/>
      <c r="B590" s="6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>
      <c r="A591" s="65"/>
      <c r="B591" s="6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>
      <c r="A592" s="65"/>
      <c r="B592" s="6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>
      <c r="A593" s="65"/>
      <c r="B593" s="6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>
      <c r="A594" s="65"/>
      <c r="B594" s="6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>
      <c r="A595" s="65"/>
      <c r="B595" s="6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>
      <c r="A596" s="65"/>
      <c r="B596" s="6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>
      <c r="A597" s="65"/>
      <c r="B597" s="6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>
      <c r="A598" s="65"/>
      <c r="B598" s="6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>
      <c r="A599" s="65"/>
      <c r="B599" s="6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>
      <c r="A600" s="65"/>
      <c r="B600" s="6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>
      <c r="A601" s="65"/>
      <c r="B601" s="6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>
      <c r="A602" s="65"/>
      <c r="B602" s="6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>
      <c r="A603" s="65"/>
      <c r="B603" s="6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>
      <c r="A604" s="65"/>
      <c r="B604" s="6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>
      <c r="A605" s="65"/>
      <c r="B605" s="6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>
      <c r="A606" s="65"/>
      <c r="B606" s="6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>
      <c r="A607" s="65"/>
      <c r="B607" s="6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>
      <c r="A608" s="65"/>
      <c r="B608" s="6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>
      <c r="A609" s="65"/>
      <c r="B609" s="6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>
      <c r="A610" s="65"/>
      <c r="B610" s="6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>
      <c r="A611" s="65"/>
      <c r="B611" s="6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>
      <c r="A612" s="65"/>
      <c r="B612" s="6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>
      <c r="A613" s="65"/>
      <c r="B613" s="6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>
      <c r="A614" s="65"/>
      <c r="B614" s="6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>
      <c r="A615" s="65"/>
      <c r="B615" s="6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>
      <c r="A616" s="65"/>
      <c r="B616" s="6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>
      <c r="A617" s="65"/>
      <c r="B617" s="6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>
      <c r="A618" s="65"/>
      <c r="B618" s="6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>
      <c r="A619" s="65"/>
      <c r="B619" s="6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>
      <c r="A620" s="65"/>
      <c r="B620" s="6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>
      <c r="A621" s="65"/>
      <c r="B621" s="6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>
      <c r="A622" s="65"/>
      <c r="B622" s="6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>
      <c r="A623" s="65"/>
      <c r="B623" s="6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>
      <c r="A624" s="65"/>
      <c r="B624" s="6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>
      <c r="A625" s="65"/>
      <c r="B625" s="6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>
      <c r="A626" s="65"/>
      <c r="B626" s="6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>
      <c r="A627" s="65"/>
      <c r="B627" s="6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>
      <c r="A628" s="65"/>
      <c r="B628" s="6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>
      <c r="A629" s="65"/>
      <c r="B629" s="6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>
      <c r="A630" s="65"/>
      <c r="B630" s="6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>
      <c r="A631" s="65"/>
      <c r="B631" s="6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>
      <c r="A632" s="65"/>
      <c r="B632" s="6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>
      <c r="A633" s="65"/>
      <c r="B633" s="6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>
      <c r="A634" s="65"/>
      <c r="B634" s="6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>
      <c r="A635" s="65"/>
      <c r="B635" s="6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>
      <c r="A636" s="65"/>
      <c r="B636" s="6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>
      <c r="A637" s="65"/>
      <c r="B637" s="6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>
      <c r="A638" s="65"/>
      <c r="B638" s="6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>
      <c r="A639" s="65"/>
      <c r="B639" s="6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>
      <c r="A640" s="65"/>
      <c r="B640" s="6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>
      <c r="A641" s="65"/>
      <c r="B641" s="6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>
      <c r="A642" s="65"/>
      <c r="B642" s="6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>
      <c r="A643" s="65"/>
      <c r="B643" s="6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>
      <c r="A644" s="65"/>
      <c r="B644" s="6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>
      <c r="A645" s="65"/>
      <c r="B645" s="6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>
      <c r="A646" s="65"/>
      <c r="B646" s="6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>
      <c r="A647" s="65"/>
      <c r="B647" s="6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>
      <c r="A648" s="65"/>
      <c r="B648" s="6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>
      <c r="A649" s="65"/>
      <c r="B649" s="6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>
      <c r="A650" s="65"/>
      <c r="B650" s="6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>
      <c r="A651" s="65"/>
      <c r="B651" s="6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>
      <c r="A652" s="65"/>
      <c r="B652" s="6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>
      <c r="A653" s="65"/>
      <c r="B653" s="6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>
      <c r="A654" s="65"/>
      <c r="B654" s="6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>
      <c r="A655" s="65"/>
      <c r="B655" s="6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>
      <c r="A656" s="65"/>
      <c r="B656" s="6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>
      <c r="A657" s="65"/>
      <c r="B657" s="6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>
      <c r="A658" s="65"/>
      <c r="B658" s="6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>
      <c r="A659" s="65"/>
      <c r="B659" s="6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>
      <c r="A660" s="65"/>
      <c r="B660" s="6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>
      <c r="A661" s="65"/>
      <c r="B661" s="6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>
      <c r="A662" s="65"/>
      <c r="B662" s="6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>
      <c r="A663" s="65"/>
      <c r="B663" s="6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>
      <c r="A664" s="65"/>
      <c r="B664" s="6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>
      <c r="A665" s="65"/>
      <c r="B665" s="6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>
      <c r="A666" s="65"/>
      <c r="B666" s="6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>
      <c r="A667" s="65"/>
      <c r="B667" s="6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>
      <c r="A668" s="65"/>
      <c r="B668" s="6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>
      <c r="A669" s="65"/>
      <c r="B669" s="6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>
      <c r="A670" s="65"/>
      <c r="B670" s="6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>
      <c r="A671" s="65"/>
      <c r="B671" s="6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>
      <c r="A672" s="65"/>
      <c r="B672" s="6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>
      <c r="A673" s="65"/>
      <c r="B673" s="6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>
      <c r="A674" s="65"/>
      <c r="B674" s="6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>
      <c r="A675" s="65"/>
      <c r="B675" s="6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>
      <c r="A676" s="65"/>
      <c r="B676" s="6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>
      <c r="A677" s="65"/>
      <c r="B677" s="6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>
      <c r="A678" s="65"/>
      <c r="B678" s="6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>
      <c r="A679" s="65"/>
      <c r="B679" s="6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>
      <c r="A680" s="65"/>
      <c r="B680" s="6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>
      <c r="A681" s="65"/>
      <c r="B681" s="6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>
      <c r="A682" s="65"/>
      <c r="B682" s="6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>
      <c r="A683" s="65"/>
      <c r="B683" s="6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>
      <c r="A684" s="65"/>
      <c r="B684" s="6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>
      <c r="A685" s="65"/>
      <c r="B685" s="6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>
      <c r="A686" s="65"/>
      <c r="B686" s="6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>
      <c r="A687" s="65"/>
      <c r="B687" s="6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>
      <c r="A688" s="65"/>
      <c r="B688" s="6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>
      <c r="A689" s="65"/>
      <c r="B689" s="6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>
      <c r="A690" s="65"/>
      <c r="B690" s="6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>
      <c r="A691" s="65"/>
      <c r="B691" s="6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>
      <c r="A692" s="65"/>
      <c r="B692" s="6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>
      <c r="A693" s="65"/>
      <c r="B693" s="6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>
      <c r="A694" s="65"/>
      <c r="B694" s="6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>
      <c r="A695" s="65"/>
      <c r="B695" s="6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>
      <c r="A696" s="65"/>
      <c r="B696" s="6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>
      <c r="A697" s="65"/>
      <c r="B697" s="6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>
      <c r="A698" s="65"/>
      <c r="B698" s="6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>
      <c r="A699" s="65"/>
      <c r="B699" s="6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>
      <c r="A700" s="65"/>
      <c r="B700" s="6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>
      <c r="A701" s="65"/>
      <c r="B701" s="6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>
      <c r="A702" s="65"/>
      <c r="B702" s="6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>
      <c r="A703" s="65"/>
      <c r="B703" s="6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>
      <c r="A704" s="65"/>
      <c r="B704" s="6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>
      <c r="A705" s="65"/>
      <c r="B705" s="6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>
      <c r="A706" s="65"/>
      <c r="B706" s="6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>
      <c r="A707" s="65"/>
      <c r="B707" s="6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>
      <c r="A708" s="65"/>
      <c r="B708" s="6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>
      <c r="A709" s="65"/>
      <c r="B709" s="6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>
      <c r="A710" s="65"/>
      <c r="B710" s="6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>
      <c r="A711" s="65"/>
      <c r="B711" s="6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>
      <c r="A712" s="65"/>
      <c r="B712" s="6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>
      <c r="A713" s="65"/>
      <c r="B713" s="6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>
      <c r="A714" s="65"/>
      <c r="B714" s="6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>
      <c r="A715" s="65"/>
      <c r="B715" s="6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>
      <c r="A716" s="65"/>
      <c r="B716" s="6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>
      <c r="A717" s="65"/>
      <c r="B717" s="6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>
      <c r="A718" s="65"/>
      <c r="B718" s="6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>
      <c r="A719" s="65"/>
      <c r="B719" s="6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>
      <c r="A720" s="65"/>
      <c r="B720" s="6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>
      <c r="A721" s="65"/>
      <c r="B721" s="6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>
      <c r="A722" s="65"/>
      <c r="B722" s="6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>
      <c r="A723" s="65"/>
      <c r="B723" s="6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>
      <c r="A724" s="65"/>
      <c r="B724" s="6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>
      <c r="A725" s="65"/>
      <c r="B725" s="6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>
      <c r="A726" s="65"/>
      <c r="B726" s="6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>
      <c r="A727" s="65"/>
      <c r="B727" s="6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>
      <c r="A728" s="65"/>
      <c r="B728" s="6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>
      <c r="A729" s="65"/>
      <c r="B729" s="6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>
      <c r="A730" s="65"/>
      <c r="B730" s="6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>
      <c r="A731" s="65"/>
      <c r="B731" s="6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>
      <c r="A732" s="65"/>
      <c r="B732" s="6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>
      <c r="A733" s="65"/>
      <c r="B733" s="6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>
      <c r="A734" s="65"/>
      <c r="B734" s="6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>
      <c r="A735" s="65"/>
      <c r="B735" s="6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>
      <c r="A736" s="65"/>
      <c r="B736" s="6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>
      <c r="A737" s="65"/>
      <c r="B737" s="6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>
      <c r="A738" s="65"/>
      <c r="B738" s="6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>
      <c r="A739" s="65"/>
      <c r="B739" s="6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>
      <c r="A740" s="65"/>
      <c r="B740" s="6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>
      <c r="A741" s="65"/>
      <c r="B741" s="6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>
      <c r="A742" s="65"/>
      <c r="B742" s="6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>
      <c r="A743" s="65"/>
      <c r="B743" s="6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>
      <c r="A744" s="65"/>
      <c r="B744" s="6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>
      <c r="A745" s="65"/>
      <c r="B745" s="6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>
      <c r="A746" s="65"/>
      <c r="B746" s="6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>
      <c r="A747" s="65"/>
      <c r="B747" s="6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>
      <c r="A748" s="65"/>
      <c r="B748" s="6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>
      <c r="A749" s="65"/>
      <c r="B749" s="6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>
      <c r="A750" s="65"/>
      <c r="B750" s="6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>
      <c r="A751" s="65"/>
      <c r="B751" s="6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>
      <c r="A752" s="65"/>
      <c r="B752" s="6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>
      <c r="A753" s="65"/>
      <c r="B753" s="6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>
      <c r="A754" s="65"/>
      <c r="B754" s="6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>
      <c r="A755" s="65"/>
      <c r="B755" s="6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>
      <c r="A756" s="65"/>
      <c r="B756" s="6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>
      <c r="A757" s="65"/>
      <c r="B757" s="6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>
      <c r="A758" s="65"/>
      <c r="B758" s="6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>
      <c r="A759" s="65"/>
      <c r="B759" s="6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>
      <c r="A760" s="65"/>
      <c r="B760" s="6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>
      <c r="A761" s="65"/>
      <c r="B761" s="6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>
      <c r="A762" s="65"/>
      <c r="B762" s="6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>
      <c r="A763" s="65"/>
      <c r="B763" s="6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>
      <c r="A764" s="65"/>
      <c r="B764" s="6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>
      <c r="A765" s="65"/>
      <c r="B765" s="6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>
      <c r="A766" s="65"/>
      <c r="B766" s="6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>
      <c r="A767" s="65"/>
      <c r="B767" s="6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>
      <c r="A768" s="65"/>
      <c r="B768" s="6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>
      <c r="A769" s="65"/>
      <c r="B769" s="6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>
      <c r="A770" s="65"/>
      <c r="B770" s="6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>
      <c r="A771" s="65"/>
      <c r="B771" s="6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>
      <c r="A772" s="65"/>
      <c r="B772" s="6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>
      <c r="A773" s="65"/>
      <c r="B773" s="6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>
      <c r="A774" s="65"/>
      <c r="B774" s="6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>
      <c r="A775" s="65"/>
      <c r="B775" s="6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>
      <c r="A776" s="65"/>
      <c r="B776" s="6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>
      <c r="A777" s="65"/>
      <c r="B777" s="6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>
      <c r="A778" s="65"/>
      <c r="B778" s="6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>
      <c r="A779" s="65"/>
      <c r="B779" s="6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>
      <c r="A780" s="65"/>
      <c r="B780" s="6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>
      <c r="A781" s="65"/>
      <c r="B781" s="6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>
      <c r="A782" s="65"/>
      <c r="B782" s="6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>
      <c r="A783" s="65"/>
      <c r="B783" s="6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>
      <c r="A784" s="65"/>
      <c r="B784" s="6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>
      <c r="A785" s="65"/>
      <c r="B785" s="6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>
      <c r="A786" s="65"/>
      <c r="B786" s="6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>
      <c r="A787" s="65"/>
      <c r="B787" s="6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>
      <c r="A788" s="65"/>
      <c r="B788" s="6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>
      <c r="A789" s="65"/>
      <c r="B789" s="6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>
      <c r="A790" s="65"/>
      <c r="B790" s="6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>
      <c r="A791" s="65"/>
      <c r="B791" s="6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>
      <c r="A792" s="65"/>
      <c r="B792" s="6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>
      <c r="A793" s="65"/>
      <c r="B793" s="6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>
      <c r="A794" s="65"/>
      <c r="B794" s="6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>
      <c r="A795" s="65"/>
      <c r="B795" s="6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>
      <c r="A796" s="65"/>
      <c r="B796" s="6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>
      <c r="A797" s="65"/>
      <c r="B797" s="6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>
      <c r="A798" s="65"/>
      <c r="B798" s="6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>
      <c r="A799" s="65"/>
      <c r="B799" s="6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>
      <c r="A800" s="65"/>
      <c r="B800" s="6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>
      <c r="A801" s="65"/>
      <c r="B801" s="6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>
      <c r="A802" s="65"/>
      <c r="B802" s="6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>
      <c r="A803" s="65"/>
      <c r="B803" s="6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>
      <c r="A804" s="65"/>
      <c r="B804" s="6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>
      <c r="A805" s="65"/>
      <c r="B805" s="6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>
      <c r="A806" s="65"/>
      <c r="B806" s="6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>
      <c r="A807" s="65"/>
      <c r="B807" s="6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>
      <c r="A808" s="65"/>
      <c r="B808" s="6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>
      <c r="A809" s="65"/>
      <c r="B809" s="6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>
      <c r="A810" s="65"/>
      <c r="B810" s="6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>
      <c r="A811" s="65"/>
      <c r="B811" s="6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>
      <c r="A812" s="65"/>
      <c r="B812" s="6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>
      <c r="A813" s="65"/>
      <c r="B813" s="6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>
      <c r="A814" s="65"/>
      <c r="B814" s="6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>
      <c r="A815" s="65"/>
      <c r="B815" s="6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>
      <c r="A816" s="65"/>
      <c r="B816" s="6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>
      <c r="A817" s="65"/>
      <c r="B817" s="6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>
      <c r="A818" s="65"/>
      <c r="B818" s="6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>
      <c r="A819" s="65"/>
      <c r="B819" s="6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>
      <c r="A820" s="65"/>
      <c r="B820" s="6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>
      <c r="A821" s="65"/>
      <c r="B821" s="6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>
      <c r="A822" s="65"/>
      <c r="B822" s="6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>
      <c r="A823" s="65"/>
      <c r="B823" s="6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>
      <c r="A824" s="65"/>
      <c r="B824" s="6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>
      <c r="A825" s="65"/>
      <c r="B825" s="6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>
      <c r="A826" s="65"/>
      <c r="B826" s="6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>
      <c r="A827" s="65"/>
      <c r="B827" s="6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>
      <c r="A828" s="65"/>
      <c r="B828" s="6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>
      <c r="A829" s="65"/>
      <c r="B829" s="6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>
      <c r="A830" s="65"/>
      <c r="B830" s="6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>
      <c r="A831" s="65"/>
      <c r="B831" s="6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>
      <c r="A832" s="65"/>
      <c r="B832" s="6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>
      <c r="A833" s="65"/>
      <c r="B833" s="6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>
      <c r="A834" s="65"/>
      <c r="B834" s="6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>
      <c r="A835" s="65"/>
      <c r="B835" s="6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>
      <c r="A836" s="65"/>
      <c r="B836" s="6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>
      <c r="A837" s="65"/>
      <c r="B837" s="6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>
      <c r="A838" s="65"/>
      <c r="B838" s="6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>
      <c r="A839" s="65"/>
      <c r="B839" s="6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>
      <c r="A840" s="65"/>
      <c r="B840" s="6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>
      <c r="A841" s="65"/>
      <c r="B841" s="6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>
      <c r="A842" s="65"/>
      <c r="B842" s="6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>
      <c r="A843" s="65"/>
      <c r="B843" s="6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>
      <c r="A844" s="65"/>
      <c r="B844" s="6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>
      <c r="A845" s="65"/>
      <c r="B845" s="6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>
      <c r="A846" s="65"/>
      <c r="B846" s="6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>
      <c r="A847" s="65"/>
      <c r="B847" s="6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>
      <c r="A848" s="65"/>
      <c r="B848" s="6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>
      <c r="A849" s="65"/>
      <c r="B849" s="6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>
      <c r="A850" s="65"/>
      <c r="B850" s="6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>
      <c r="A851" s="65"/>
      <c r="B851" s="6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>
      <c r="A852" s="65"/>
      <c r="B852" s="6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>
      <c r="A853" s="65"/>
      <c r="B853" s="6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>
      <c r="A854" s="65"/>
      <c r="B854" s="6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>
      <c r="A855" s="65"/>
      <c r="B855" s="6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>
      <c r="A856" s="65"/>
      <c r="B856" s="6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>
      <c r="A857" s="65"/>
      <c r="B857" s="6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>
      <c r="A858" s="65"/>
      <c r="B858" s="6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>
      <c r="A859" s="65"/>
      <c r="B859" s="6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>
      <c r="A860" s="65"/>
      <c r="B860" s="6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>
      <c r="A861" s="65"/>
      <c r="B861" s="6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>
      <c r="A862" s="65"/>
      <c r="B862" s="6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>
      <c r="A863" s="65"/>
      <c r="B863" s="6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>
      <c r="A864" s="65"/>
      <c r="B864" s="6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>
      <c r="A865" s="65"/>
      <c r="B865" s="6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>
      <c r="A866" s="65"/>
      <c r="B866" s="6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>
      <c r="A867" s="65"/>
      <c r="B867" s="6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>
      <c r="A868" s="65"/>
      <c r="B868" s="6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>
      <c r="A869" s="65"/>
      <c r="B869" s="6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>
      <c r="A870" s="65"/>
      <c r="B870" s="6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>
      <c r="A871" s="65"/>
      <c r="B871" s="6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>
      <c r="A872" s="65"/>
      <c r="B872" s="6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>
      <c r="A873" s="65"/>
      <c r="B873" s="6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>
      <c r="A874" s="65"/>
      <c r="B874" s="6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>
      <c r="A875" s="65"/>
      <c r="B875" s="6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>
      <c r="A876" s="65"/>
      <c r="B876" s="6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>
      <c r="A877" s="65"/>
      <c r="B877" s="6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>
      <c r="A878" s="65"/>
      <c r="B878" s="6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>
      <c r="A879" s="65"/>
      <c r="B879" s="6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>
      <c r="A880" s="65"/>
      <c r="B880" s="6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>
      <c r="A881" s="65"/>
      <c r="B881" s="6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>
      <c r="A882" s="65"/>
      <c r="B882" s="6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>
      <c r="A883" s="65"/>
      <c r="B883" s="6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>
      <c r="A884" s="65"/>
      <c r="B884" s="6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>
      <c r="A885" s="65"/>
      <c r="B885" s="6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>
      <c r="A886" s="65"/>
      <c r="B886" s="6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>
      <c r="A887" s="65"/>
      <c r="B887" s="6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>
      <c r="A888" s="65"/>
      <c r="B888" s="6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>
      <c r="A889" s="65"/>
      <c r="B889" s="6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>
      <c r="A890" s="65"/>
      <c r="B890" s="6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>
      <c r="A891" s="65"/>
      <c r="B891" s="6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>
      <c r="A892" s="65"/>
      <c r="B892" s="6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>
      <c r="A893" s="65"/>
      <c r="B893" s="6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>
      <c r="A894" s="65"/>
      <c r="B894" s="6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>
      <c r="A895" s="65"/>
      <c r="B895" s="6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>
      <c r="A896" s="65"/>
      <c r="B896" s="6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>
      <c r="A897" s="65"/>
      <c r="B897" s="6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>
      <c r="A898" s="65"/>
      <c r="B898" s="6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>
      <c r="A899" s="65"/>
      <c r="B899" s="6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>
      <c r="A900" s="65"/>
      <c r="B900" s="6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>
      <c r="A901" s="65"/>
      <c r="B901" s="6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>
      <c r="A902" s="65"/>
      <c r="B902" s="6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>
      <c r="A903" s="65"/>
      <c r="B903" s="6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>
      <c r="A904" s="65"/>
      <c r="B904" s="6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>
      <c r="A905" s="65"/>
      <c r="B905" s="6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>
      <c r="A906" s="65"/>
      <c r="B906" s="6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>
      <c r="A907" s="65"/>
      <c r="B907" s="6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>
      <c r="A908" s="65"/>
      <c r="B908" s="6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>
      <c r="A909" s="65"/>
      <c r="B909" s="6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>
      <c r="A910" s="65"/>
      <c r="B910" s="6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>
      <c r="A911" s="65"/>
      <c r="B911" s="6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>
      <c r="A912" s="65"/>
      <c r="B912" s="6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>
      <c r="A913" s="65"/>
      <c r="B913" s="6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>
      <c r="A914" s="65"/>
      <c r="B914" s="6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>
      <c r="A915" s="65"/>
      <c r="B915" s="6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>
      <c r="A916" s="65"/>
      <c r="B916" s="6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>
      <c r="A917" s="65"/>
      <c r="B917" s="6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>
      <c r="A918" s="65"/>
      <c r="B918" s="6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>
      <c r="A919" s="65"/>
      <c r="B919" s="6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>
      <c r="A920" s="65"/>
      <c r="B920" s="6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>
      <c r="A921" s="65"/>
      <c r="B921" s="6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>
      <c r="A922" s="65"/>
      <c r="B922" s="6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>
      <c r="A923" s="65"/>
      <c r="B923" s="6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>
      <c r="A924" s="65"/>
      <c r="B924" s="6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>
      <c r="A925" s="65"/>
      <c r="B925" s="6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>
      <c r="A926" s="65"/>
      <c r="B926" s="6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>
      <c r="A927" s="65"/>
      <c r="B927" s="6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>
      <c r="A928" s="65"/>
      <c r="B928" s="6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>
      <c r="A929" s="65"/>
      <c r="B929" s="6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>
      <c r="A930" s="65"/>
      <c r="B930" s="6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>
      <c r="A931" s="65"/>
      <c r="B931" s="6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>
      <c r="A932" s="65"/>
      <c r="B932" s="6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>
      <c r="A933" s="65"/>
      <c r="B933" s="6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>
      <c r="A934" s="65"/>
      <c r="B934" s="6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>
      <c r="A935" s="65"/>
      <c r="B935" s="6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>
      <c r="A936" s="65"/>
      <c r="B936" s="6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>
      <c r="A937" s="65"/>
      <c r="B937" s="6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>
      <c r="A938" s="65"/>
      <c r="B938" s="6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>
      <c r="A939" s="65"/>
      <c r="B939" s="6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>
      <c r="A940" s="65"/>
      <c r="B940" s="6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>
      <c r="A941" s="65"/>
      <c r="B941" s="6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>
      <c r="A942" s="65"/>
      <c r="B942" s="6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>
      <c r="A943" s="65"/>
      <c r="B943" s="6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>
      <c r="A944" s="65"/>
      <c r="B944" s="6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>
      <c r="A945" s="65"/>
      <c r="B945" s="6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>
      <c r="A946" s="65"/>
      <c r="B946" s="6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>
      <c r="A947" s="65"/>
      <c r="B947" s="6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>
      <c r="A948" s="65"/>
      <c r="B948" s="6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>
      <c r="A949" s="65"/>
      <c r="B949" s="6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>
      <c r="A950" s="65"/>
      <c r="B950" s="6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>
      <c r="A951" s="65"/>
      <c r="B951" s="6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>
      <c r="A952" s="65"/>
      <c r="B952" s="6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>
      <c r="A953" s="65"/>
      <c r="B953" s="6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>
      <c r="A954" s="65"/>
      <c r="B954" s="6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>
      <c r="A955" s="65"/>
      <c r="B955" s="6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>
      <c r="A956" s="65"/>
      <c r="B956" s="6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>
      <c r="A957" s="65"/>
      <c r="B957" s="6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>
      <c r="A958" s="65"/>
      <c r="B958" s="6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>
      <c r="A959" s="65"/>
      <c r="B959" s="6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>
      <c r="A960" s="65"/>
      <c r="B960" s="6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>
      <c r="A961" s="65"/>
      <c r="B961" s="6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>
      <c r="A962" s="65"/>
      <c r="B962" s="6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>
      <c r="A963" s="65"/>
      <c r="B963" s="6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>
      <c r="A964" s="65"/>
      <c r="B964" s="6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>
      <c r="A965" s="65"/>
      <c r="B965" s="6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>
      <c r="A966" s="65"/>
      <c r="B966" s="6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>
      <c r="A967" s="65"/>
      <c r="B967" s="6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>
      <c r="A968" s="65"/>
      <c r="B968" s="6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>
      <c r="A969" s="65"/>
      <c r="B969" s="6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>
      <c r="A970" s="65"/>
      <c r="B970" s="6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>
      <c r="A971" s="65"/>
      <c r="B971" s="6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>
      <c r="A972" s="65"/>
      <c r="B972" s="6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>
      <c r="A973" s="65"/>
      <c r="B973" s="6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>
      <c r="A974" s="65"/>
      <c r="B974" s="6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>
      <c r="A975" s="65"/>
      <c r="B975" s="6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>
      <c r="A976" s="65"/>
      <c r="B976" s="6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>
      <c r="A977" s="65"/>
      <c r="B977" s="6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>
      <c r="A978" s="65"/>
      <c r="B978" s="6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>
      <c r="A979" s="65"/>
      <c r="B979" s="6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>
      <c r="A980" s="65"/>
      <c r="B980" s="6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>
      <c r="A981" s="65"/>
      <c r="B981" s="6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>
      <c r="A982" s="65"/>
      <c r="B982" s="6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>
      <c r="A983" s="65"/>
      <c r="B983" s="6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>
      <c r="A984" s="65"/>
      <c r="B984" s="6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>
      <c r="A985" s="65"/>
      <c r="B985" s="6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>
      <c r="A986" s="65"/>
      <c r="B986" s="6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>
      <c r="A987" s="65"/>
      <c r="B987" s="6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>
      <c r="A988" s="65"/>
      <c r="B988" s="6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>
      <c r="A989" s="65"/>
      <c r="B989" s="6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>
      <c r="A990" s="65"/>
      <c r="B990" s="6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>
      <c r="A991" s="65"/>
      <c r="B991" s="6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>
      <c r="A992" s="65"/>
      <c r="B992" s="6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>
      <c r="A993" s="65"/>
      <c r="B993" s="6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>
      <c r="A994" s="65"/>
      <c r="B994" s="6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>
      <c r="A995" s="65"/>
      <c r="B995" s="6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>
      <c r="A996" s="65"/>
      <c r="B996" s="6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>
      <c r="A997" s="65"/>
      <c r="B997" s="6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>
      <c r="A998" s="65"/>
      <c r="B998" s="6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dataValidations count="1">
    <dataValidation type="list" allowBlank="1" sqref="F2:G30" xr:uid="{00000000-0002-0000-0100-000000000000}">
      <formula1>"Pass,Fail,Pending,N/A"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9.7109375" style="86" customWidth="1"/>
    <col min="2" max="2" width="8" style="86" customWidth="1"/>
    <col min="3" max="3" width="8.140625" style="86" customWidth="1"/>
    <col min="4" max="4" width="9.5703125" style="86" customWidth="1"/>
    <col min="5" max="5" width="7.85546875" style="86" customWidth="1"/>
    <col min="6" max="6" width="7.42578125" style="86" customWidth="1"/>
    <col min="7" max="7" width="8.7109375" style="86" customWidth="1"/>
    <col min="8" max="8" width="7" style="86" customWidth="1"/>
    <col min="9" max="9" width="15.42578125" customWidth="1"/>
    <col min="10" max="10" width="17.28515625" customWidth="1"/>
    <col min="11" max="11" width="17.140625" customWidth="1"/>
    <col min="12" max="12" width="8.7109375" customWidth="1"/>
    <col min="13" max="13" width="8" customWidth="1"/>
    <col min="14" max="14" width="6.140625" customWidth="1"/>
    <col min="15" max="26" width="14.42578125" style="86"/>
  </cols>
  <sheetData>
    <row r="1" spans="1:26">
      <c r="A1" s="67" t="s">
        <v>30</v>
      </c>
      <c r="B1" s="68" t="s">
        <v>31</v>
      </c>
      <c r="C1" s="68" t="s">
        <v>112</v>
      </c>
      <c r="D1" s="68" t="s">
        <v>113</v>
      </c>
      <c r="E1" s="68" t="s">
        <v>114</v>
      </c>
      <c r="F1" s="68" t="s">
        <v>115</v>
      </c>
      <c r="G1" s="68" t="s">
        <v>116</v>
      </c>
      <c r="H1" s="68" t="s">
        <v>117</v>
      </c>
      <c r="I1" s="69" t="s">
        <v>32</v>
      </c>
      <c r="J1" s="69" t="s">
        <v>33</v>
      </c>
      <c r="K1" s="69" t="s">
        <v>34</v>
      </c>
      <c r="L1" s="68" t="s">
        <v>118</v>
      </c>
      <c r="M1" s="68" t="s">
        <v>119</v>
      </c>
      <c r="N1" s="68" t="s">
        <v>120</v>
      </c>
      <c r="O1" s="70" t="s">
        <v>121</v>
      </c>
      <c r="P1" s="70" t="s">
        <v>122</v>
      </c>
      <c r="Q1" s="70" t="s">
        <v>123</v>
      </c>
      <c r="R1" s="70" t="s">
        <v>124</v>
      </c>
      <c r="S1" s="70" t="s">
        <v>125</v>
      </c>
      <c r="T1" s="70" t="s">
        <v>126</v>
      </c>
      <c r="U1" s="71" t="s">
        <v>127</v>
      </c>
      <c r="V1" s="71" t="s">
        <v>128</v>
      </c>
      <c r="W1" s="71" t="s">
        <v>129</v>
      </c>
      <c r="X1" s="71" t="s">
        <v>130</v>
      </c>
      <c r="Y1" s="71" t="s">
        <v>131</v>
      </c>
      <c r="Z1" s="71" t="s">
        <v>132</v>
      </c>
    </row>
    <row r="2" spans="1:26">
      <c r="A2" s="72">
        <v>1</v>
      </c>
      <c r="B2" s="73" t="s">
        <v>133</v>
      </c>
      <c r="C2" s="74" t="s">
        <v>134</v>
      </c>
      <c r="D2" s="74" t="s">
        <v>134</v>
      </c>
      <c r="E2" s="74" t="s">
        <v>134</v>
      </c>
      <c r="F2" s="74" t="s">
        <v>134</v>
      </c>
      <c r="G2" s="74" t="s">
        <v>134</v>
      </c>
      <c r="H2" s="74" t="s">
        <v>134</v>
      </c>
      <c r="I2" s="75" t="s">
        <v>135</v>
      </c>
      <c r="J2" s="75" t="s">
        <v>135</v>
      </c>
      <c r="K2" s="75" t="s">
        <v>136</v>
      </c>
      <c r="L2" s="76"/>
      <c r="M2" s="73" t="s">
        <v>137</v>
      </c>
      <c r="N2" s="64"/>
      <c r="O2" s="77" t="s">
        <v>15</v>
      </c>
      <c r="P2" s="77" t="s">
        <v>15</v>
      </c>
      <c r="Q2" s="77" t="s">
        <v>15</v>
      </c>
      <c r="R2" s="77" t="s">
        <v>15</v>
      </c>
      <c r="S2" s="77" t="s">
        <v>15</v>
      </c>
      <c r="T2" s="77" t="s">
        <v>15</v>
      </c>
      <c r="U2" s="78" t="s">
        <v>41</v>
      </c>
      <c r="V2" s="78" t="s">
        <v>41</v>
      </c>
      <c r="W2" s="78" t="s">
        <v>41</v>
      </c>
      <c r="X2" s="78" t="s">
        <v>41</v>
      </c>
      <c r="Y2" s="78" t="s">
        <v>41</v>
      </c>
      <c r="Z2" s="78" t="s">
        <v>41</v>
      </c>
    </row>
    <row r="3" spans="1:26">
      <c r="A3" s="72">
        <v>2</v>
      </c>
      <c r="B3" s="73" t="s">
        <v>138</v>
      </c>
      <c r="C3" s="74" t="s">
        <v>134</v>
      </c>
      <c r="D3" s="74" t="s">
        <v>134</v>
      </c>
      <c r="E3" s="74" t="s">
        <v>134</v>
      </c>
      <c r="F3" s="74" t="s">
        <v>134</v>
      </c>
      <c r="G3" s="74" t="s">
        <v>134</v>
      </c>
      <c r="H3" s="74" t="s">
        <v>134</v>
      </c>
      <c r="I3" s="75" t="s">
        <v>139</v>
      </c>
      <c r="J3" s="75" t="s">
        <v>139</v>
      </c>
      <c r="K3" s="75" t="s">
        <v>136</v>
      </c>
      <c r="L3" s="76"/>
      <c r="M3" s="73" t="s">
        <v>137</v>
      </c>
      <c r="N3" s="64"/>
      <c r="O3" s="77" t="s">
        <v>15</v>
      </c>
      <c r="P3" s="77" t="s">
        <v>15</v>
      </c>
      <c r="Q3" s="77" t="s">
        <v>15</v>
      </c>
      <c r="R3" s="77" t="s">
        <v>15</v>
      </c>
      <c r="S3" s="77" t="s">
        <v>15</v>
      </c>
      <c r="T3" s="77" t="s">
        <v>15</v>
      </c>
      <c r="U3" s="78" t="s">
        <v>41</v>
      </c>
      <c r="V3" s="78" t="s">
        <v>41</v>
      </c>
      <c r="W3" s="78" t="s">
        <v>41</v>
      </c>
      <c r="X3" s="78" t="s">
        <v>41</v>
      </c>
      <c r="Y3" s="78" t="s">
        <v>41</v>
      </c>
      <c r="Z3" s="78" t="s">
        <v>41</v>
      </c>
    </row>
    <row r="4" spans="1:26">
      <c r="A4" s="72">
        <v>3</v>
      </c>
      <c r="B4" s="73" t="s">
        <v>140</v>
      </c>
      <c r="C4" s="74" t="s">
        <v>141</v>
      </c>
      <c r="D4" s="74" t="s">
        <v>141</v>
      </c>
      <c r="E4" s="74" t="s">
        <v>141</v>
      </c>
      <c r="F4" s="74" t="s">
        <v>141</v>
      </c>
      <c r="G4" s="74" t="s">
        <v>141</v>
      </c>
      <c r="H4" s="74" t="s">
        <v>134</v>
      </c>
      <c r="I4" s="75" t="s">
        <v>142</v>
      </c>
      <c r="J4" s="75" t="s">
        <v>143</v>
      </c>
      <c r="K4" s="75" t="s">
        <v>144</v>
      </c>
      <c r="L4" s="74" t="s">
        <v>145</v>
      </c>
      <c r="M4" s="73" t="s">
        <v>137</v>
      </c>
      <c r="N4" s="73"/>
      <c r="O4" s="77" t="s">
        <v>15</v>
      </c>
      <c r="P4" s="77" t="s">
        <v>15</v>
      </c>
      <c r="Q4" s="77" t="s">
        <v>15</v>
      </c>
      <c r="R4" s="77" t="s">
        <v>15</v>
      </c>
      <c r="S4" s="77" t="s">
        <v>15</v>
      </c>
      <c r="T4" s="77" t="s">
        <v>15</v>
      </c>
      <c r="U4" s="77" t="s">
        <v>15</v>
      </c>
      <c r="V4" s="77" t="s">
        <v>15</v>
      </c>
      <c r="W4" s="78" t="s">
        <v>41</v>
      </c>
      <c r="X4" s="77" t="s">
        <v>15</v>
      </c>
      <c r="Y4" s="77" t="s">
        <v>15</v>
      </c>
      <c r="Z4" s="77" t="s">
        <v>15</v>
      </c>
    </row>
    <row r="5" spans="1:26">
      <c r="A5" s="72">
        <v>4</v>
      </c>
      <c r="B5" s="73" t="s">
        <v>146</v>
      </c>
      <c r="C5" s="74" t="s">
        <v>141</v>
      </c>
      <c r="D5" s="74" t="s">
        <v>141</v>
      </c>
      <c r="E5" s="74" t="s">
        <v>141</v>
      </c>
      <c r="F5" s="74" t="s">
        <v>141</v>
      </c>
      <c r="G5" s="74" t="s">
        <v>141</v>
      </c>
      <c r="H5" s="74" t="s">
        <v>134</v>
      </c>
      <c r="I5" s="75" t="s">
        <v>147</v>
      </c>
      <c r="J5" s="75" t="s">
        <v>148</v>
      </c>
      <c r="K5" s="75" t="s">
        <v>144</v>
      </c>
      <c r="L5" s="74" t="s">
        <v>145</v>
      </c>
      <c r="M5" s="73" t="s">
        <v>137</v>
      </c>
      <c r="N5" s="73"/>
      <c r="O5" s="77" t="s">
        <v>15</v>
      </c>
      <c r="P5" s="77" t="s">
        <v>15</v>
      </c>
      <c r="Q5" s="77" t="s">
        <v>15</v>
      </c>
      <c r="R5" s="77" t="s">
        <v>15</v>
      </c>
      <c r="S5" s="77" t="s">
        <v>15</v>
      </c>
      <c r="T5" s="77" t="s">
        <v>15</v>
      </c>
      <c r="U5" s="77" t="s">
        <v>15</v>
      </c>
      <c r="V5" s="77" t="s">
        <v>15</v>
      </c>
      <c r="W5" s="78" t="s">
        <v>41</v>
      </c>
      <c r="X5" s="77" t="s">
        <v>15</v>
      </c>
      <c r="Y5" s="77" t="s">
        <v>15</v>
      </c>
      <c r="Z5" s="77" t="s">
        <v>15</v>
      </c>
    </row>
    <row r="6" spans="1:26">
      <c r="A6" s="72">
        <v>5</v>
      </c>
      <c r="B6" s="73" t="s">
        <v>149</v>
      </c>
      <c r="C6" s="74" t="s">
        <v>141</v>
      </c>
      <c r="D6" s="74" t="s">
        <v>141</v>
      </c>
      <c r="E6" s="74" t="s">
        <v>141</v>
      </c>
      <c r="F6" s="74" t="s">
        <v>141</v>
      </c>
      <c r="G6" s="74" t="s">
        <v>141</v>
      </c>
      <c r="H6" s="74" t="s">
        <v>134</v>
      </c>
      <c r="I6" s="75" t="s">
        <v>150</v>
      </c>
      <c r="J6" s="75" t="s">
        <v>151</v>
      </c>
      <c r="K6" s="75" t="s">
        <v>144</v>
      </c>
      <c r="L6" s="74" t="s">
        <v>145</v>
      </c>
      <c r="M6" s="73" t="s">
        <v>137</v>
      </c>
      <c r="N6" s="73"/>
      <c r="O6" s="77" t="s">
        <v>15</v>
      </c>
      <c r="P6" s="77" t="s">
        <v>15</v>
      </c>
      <c r="Q6" s="77" t="s">
        <v>15</v>
      </c>
      <c r="R6" s="77" t="s">
        <v>15</v>
      </c>
      <c r="S6" s="77" t="s">
        <v>15</v>
      </c>
      <c r="T6" s="77" t="s">
        <v>15</v>
      </c>
      <c r="U6" s="77" t="s">
        <v>15</v>
      </c>
      <c r="V6" s="77" t="s">
        <v>15</v>
      </c>
      <c r="W6" s="78" t="s">
        <v>41</v>
      </c>
      <c r="X6" s="77" t="s">
        <v>15</v>
      </c>
      <c r="Y6" s="77" t="s">
        <v>15</v>
      </c>
      <c r="Z6" s="77" t="s">
        <v>15</v>
      </c>
    </row>
    <row r="7" spans="1:26">
      <c r="A7" s="72">
        <v>6</v>
      </c>
      <c r="B7" s="73" t="s">
        <v>152</v>
      </c>
      <c r="C7" s="74" t="s">
        <v>141</v>
      </c>
      <c r="D7" s="74" t="s">
        <v>141</v>
      </c>
      <c r="E7" s="74" t="s">
        <v>141</v>
      </c>
      <c r="F7" s="74" t="s">
        <v>141</v>
      </c>
      <c r="G7" s="74" t="s">
        <v>141</v>
      </c>
      <c r="H7" s="74" t="s">
        <v>134</v>
      </c>
      <c r="I7" s="75" t="s">
        <v>153</v>
      </c>
      <c r="J7" s="75" t="s">
        <v>154</v>
      </c>
      <c r="K7" s="75" t="s">
        <v>144</v>
      </c>
      <c r="L7" s="74" t="s">
        <v>145</v>
      </c>
      <c r="M7" s="73" t="s">
        <v>137</v>
      </c>
      <c r="N7" s="73"/>
      <c r="O7" s="77" t="s">
        <v>15</v>
      </c>
      <c r="P7" s="77" t="s">
        <v>15</v>
      </c>
      <c r="Q7" s="77" t="s">
        <v>15</v>
      </c>
      <c r="R7" s="77" t="s">
        <v>15</v>
      </c>
      <c r="S7" s="77" t="s">
        <v>15</v>
      </c>
      <c r="T7" s="77" t="s">
        <v>15</v>
      </c>
      <c r="U7" s="77" t="s">
        <v>15</v>
      </c>
      <c r="V7" s="77" t="s">
        <v>15</v>
      </c>
      <c r="W7" s="78" t="s">
        <v>41</v>
      </c>
      <c r="X7" s="77" t="s">
        <v>15</v>
      </c>
      <c r="Y7" s="77" t="s">
        <v>15</v>
      </c>
      <c r="Z7" s="77" t="s">
        <v>15</v>
      </c>
    </row>
    <row r="8" spans="1:26">
      <c r="A8" s="72">
        <v>7</v>
      </c>
      <c r="B8" s="73" t="s">
        <v>155</v>
      </c>
      <c r="C8" s="74" t="s">
        <v>141</v>
      </c>
      <c r="D8" s="74" t="s">
        <v>141</v>
      </c>
      <c r="E8" s="74" t="s">
        <v>141</v>
      </c>
      <c r="F8" s="74" t="s">
        <v>141</v>
      </c>
      <c r="G8" s="74" t="s">
        <v>141</v>
      </c>
      <c r="H8" s="74" t="s">
        <v>134</v>
      </c>
      <c r="I8" s="75" t="s">
        <v>156</v>
      </c>
      <c r="J8" s="75" t="s">
        <v>156</v>
      </c>
      <c r="K8" s="75" t="s">
        <v>144</v>
      </c>
      <c r="L8" s="74" t="s">
        <v>145</v>
      </c>
      <c r="M8" s="73" t="s">
        <v>137</v>
      </c>
      <c r="N8" s="73"/>
      <c r="O8" s="77" t="s">
        <v>15</v>
      </c>
      <c r="P8" s="77" t="s">
        <v>15</v>
      </c>
      <c r="Q8" s="77" t="s">
        <v>15</v>
      </c>
      <c r="R8" s="77" t="s">
        <v>15</v>
      </c>
      <c r="S8" s="77" t="s">
        <v>15</v>
      </c>
      <c r="T8" s="77" t="s">
        <v>15</v>
      </c>
      <c r="U8" s="77" t="s">
        <v>15</v>
      </c>
      <c r="V8" s="77" t="s">
        <v>15</v>
      </c>
      <c r="W8" s="78" t="s">
        <v>41</v>
      </c>
      <c r="X8" s="77" t="s">
        <v>15</v>
      </c>
      <c r="Y8" s="77" t="s">
        <v>15</v>
      </c>
      <c r="Z8" s="77" t="s">
        <v>15</v>
      </c>
    </row>
    <row r="9" spans="1:26">
      <c r="A9" s="72">
        <v>8</v>
      </c>
      <c r="B9" s="73" t="s">
        <v>157</v>
      </c>
      <c r="C9" s="74" t="s">
        <v>141</v>
      </c>
      <c r="D9" s="74" t="s">
        <v>141</v>
      </c>
      <c r="E9" s="74" t="s">
        <v>141</v>
      </c>
      <c r="F9" s="74" t="s">
        <v>141</v>
      </c>
      <c r="G9" s="74" t="s">
        <v>141</v>
      </c>
      <c r="H9" s="74" t="s">
        <v>134</v>
      </c>
      <c r="I9" s="75" t="s">
        <v>158</v>
      </c>
      <c r="J9" s="75" t="s">
        <v>158</v>
      </c>
      <c r="K9" s="75" t="s">
        <v>144</v>
      </c>
      <c r="L9" s="74" t="s">
        <v>145</v>
      </c>
      <c r="M9" s="73" t="s">
        <v>137</v>
      </c>
      <c r="N9" s="73"/>
      <c r="O9" s="77" t="s">
        <v>15</v>
      </c>
      <c r="P9" s="77" t="s">
        <v>15</v>
      </c>
      <c r="Q9" s="77" t="s">
        <v>15</v>
      </c>
      <c r="R9" s="77" t="s">
        <v>15</v>
      </c>
      <c r="S9" s="77" t="s">
        <v>15</v>
      </c>
      <c r="T9" s="77" t="s">
        <v>15</v>
      </c>
      <c r="U9" s="77" t="s">
        <v>15</v>
      </c>
      <c r="V9" s="77" t="s">
        <v>15</v>
      </c>
      <c r="W9" s="78" t="s">
        <v>41</v>
      </c>
      <c r="X9" s="77" t="s">
        <v>15</v>
      </c>
      <c r="Y9" s="77" t="s">
        <v>15</v>
      </c>
      <c r="Z9" s="77" t="s">
        <v>15</v>
      </c>
    </row>
    <row r="10" spans="1:26">
      <c r="A10" s="72">
        <v>9</v>
      </c>
      <c r="B10" s="73" t="s">
        <v>159</v>
      </c>
      <c r="C10" s="74" t="s">
        <v>141</v>
      </c>
      <c r="D10" s="74" t="s">
        <v>141</v>
      </c>
      <c r="E10" s="74" t="s">
        <v>141</v>
      </c>
      <c r="F10" s="74" t="s">
        <v>141</v>
      </c>
      <c r="G10" s="74" t="s">
        <v>141</v>
      </c>
      <c r="H10" s="74" t="s">
        <v>134</v>
      </c>
      <c r="I10" s="75" t="s">
        <v>160</v>
      </c>
      <c r="J10" s="75" t="s">
        <v>160</v>
      </c>
      <c r="K10" s="75" t="s">
        <v>40</v>
      </c>
      <c r="L10" s="74"/>
      <c r="M10" s="73" t="s">
        <v>137</v>
      </c>
      <c r="N10" s="73"/>
      <c r="O10" s="77" t="s">
        <v>15</v>
      </c>
      <c r="P10" s="77" t="s">
        <v>15</v>
      </c>
      <c r="Q10" s="77" t="s">
        <v>15</v>
      </c>
      <c r="R10" s="77" t="s">
        <v>15</v>
      </c>
      <c r="S10" s="77" t="s">
        <v>15</v>
      </c>
      <c r="T10" s="77" t="s">
        <v>15</v>
      </c>
      <c r="U10" s="77" t="s">
        <v>15</v>
      </c>
      <c r="V10" s="77" t="s">
        <v>15</v>
      </c>
      <c r="W10" s="78" t="s">
        <v>41</v>
      </c>
      <c r="X10" s="77" t="s">
        <v>15</v>
      </c>
      <c r="Y10" s="77" t="s">
        <v>15</v>
      </c>
      <c r="Z10" s="77" t="s">
        <v>15</v>
      </c>
    </row>
    <row r="11" spans="1:26">
      <c r="A11" s="72">
        <v>10</v>
      </c>
      <c r="B11" s="73" t="s">
        <v>161</v>
      </c>
      <c r="C11" s="74" t="s">
        <v>141</v>
      </c>
      <c r="D11" s="74" t="s">
        <v>141</v>
      </c>
      <c r="E11" s="74" t="s">
        <v>141</v>
      </c>
      <c r="F11" s="74" t="s">
        <v>134</v>
      </c>
      <c r="G11" s="74" t="s">
        <v>141</v>
      </c>
      <c r="H11" s="74" t="s">
        <v>141</v>
      </c>
      <c r="I11" s="75" t="s">
        <v>162</v>
      </c>
      <c r="J11" s="75" t="s">
        <v>162</v>
      </c>
      <c r="K11" s="75" t="s">
        <v>144</v>
      </c>
      <c r="L11" s="74" t="s">
        <v>145</v>
      </c>
      <c r="M11" s="73" t="s">
        <v>137</v>
      </c>
      <c r="N11" s="73"/>
      <c r="O11" s="77" t="s">
        <v>15</v>
      </c>
      <c r="P11" s="77" t="s">
        <v>15</v>
      </c>
      <c r="Q11" s="77" t="s">
        <v>15</v>
      </c>
      <c r="R11" s="77" t="s">
        <v>15</v>
      </c>
      <c r="S11" s="77" t="s">
        <v>15</v>
      </c>
      <c r="T11" s="77" t="s">
        <v>15</v>
      </c>
      <c r="U11" s="78" t="s">
        <v>41</v>
      </c>
      <c r="V11" s="77" t="s">
        <v>15</v>
      </c>
      <c r="W11" s="77" t="s">
        <v>15</v>
      </c>
      <c r="X11" s="77" t="s">
        <v>15</v>
      </c>
      <c r="Y11" s="77" t="s">
        <v>15</v>
      </c>
      <c r="Z11" s="77" t="s">
        <v>15</v>
      </c>
    </row>
    <row r="12" spans="1:26">
      <c r="A12" s="72">
        <v>11</v>
      </c>
      <c r="B12" s="73" t="s">
        <v>163</v>
      </c>
      <c r="C12" s="74" t="s">
        <v>141</v>
      </c>
      <c r="D12" s="74" t="s">
        <v>141</v>
      </c>
      <c r="E12" s="74" t="s">
        <v>141</v>
      </c>
      <c r="F12" s="74" t="s">
        <v>134</v>
      </c>
      <c r="G12" s="74" t="s">
        <v>141</v>
      </c>
      <c r="H12" s="74" t="s">
        <v>141</v>
      </c>
      <c r="I12" s="75" t="s">
        <v>164</v>
      </c>
      <c r="J12" s="75" t="s">
        <v>164</v>
      </c>
      <c r="K12" s="75" t="s">
        <v>144</v>
      </c>
      <c r="L12" s="74" t="s">
        <v>145</v>
      </c>
      <c r="M12" s="73" t="s">
        <v>137</v>
      </c>
      <c r="N12" s="73"/>
      <c r="O12" s="77" t="s">
        <v>15</v>
      </c>
      <c r="P12" s="77" t="s">
        <v>15</v>
      </c>
      <c r="Q12" s="77" t="s">
        <v>15</v>
      </c>
      <c r="R12" s="77" t="s">
        <v>15</v>
      </c>
      <c r="S12" s="77" t="s">
        <v>15</v>
      </c>
      <c r="T12" s="77" t="s">
        <v>15</v>
      </c>
      <c r="U12" s="78" t="s">
        <v>41</v>
      </c>
      <c r="V12" s="77" t="s">
        <v>15</v>
      </c>
      <c r="W12" s="77" t="s">
        <v>15</v>
      </c>
      <c r="X12" s="77" t="s">
        <v>15</v>
      </c>
      <c r="Y12" s="77" t="s">
        <v>15</v>
      </c>
      <c r="Z12" s="77" t="s">
        <v>15</v>
      </c>
    </row>
    <row r="13" spans="1:26">
      <c r="A13" s="72">
        <v>12</v>
      </c>
      <c r="B13" s="73" t="s">
        <v>165</v>
      </c>
      <c r="C13" s="74" t="s">
        <v>141</v>
      </c>
      <c r="D13" s="74" t="s">
        <v>141</v>
      </c>
      <c r="E13" s="74" t="s">
        <v>141</v>
      </c>
      <c r="F13" s="74" t="s">
        <v>134</v>
      </c>
      <c r="G13" s="74" t="s">
        <v>141</v>
      </c>
      <c r="H13" s="74" t="s">
        <v>141</v>
      </c>
      <c r="I13" s="75" t="s">
        <v>166</v>
      </c>
      <c r="J13" s="75" t="s">
        <v>166</v>
      </c>
      <c r="K13" s="75" t="s">
        <v>40</v>
      </c>
      <c r="L13" s="74"/>
      <c r="M13" s="73" t="s">
        <v>137</v>
      </c>
      <c r="N13" s="73"/>
      <c r="O13" s="77" t="s">
        <v>15</v>
      </c>
      <c r="P13" s="77" t="s">
        <v>15</v>
      </c>
      <c r="Q13" s="77" t="s">
        <v>15</v>
      </c>
      <c r="R13" s="77" t="s">
        <v>15</v>
      </c>
      <c r="S13" s="77" t="s">
        <v>15</v>
      </c>
      <c r="T13" s="77" t="s">
        <v>15</v>
      </c>
      <c r="U13" s="78" t="s">
        <v>41</v>
      </c>
      <c r="V13" s="77" t="s">
        <v>15</v>
      </c>
      <c r="W13" s="77" t="s">
        <v>15</v>
      </c>
      <c r="X13" s="77" t="s">
        <v>15</v>
      </c>
      <c r="Y13" s="77" t="s">
        <v>15</v>
      </c>
      <c r="Z13" s="77" t="s">
        <v>15</v>
      </c>
    </row>
    <row r="14" spans="1:26">
      <c r="A14" s="72">
        <v>13</v>
      </c>
      <c r="B14" s="73" t="s">
        <v>167</v>
      </c>
      <c r="C14" s="74" t="s">
        <v>141</v>
      </c>
      <c r="D14" s="74" t="s">
        <v>141</v>
      </c>
      <c r="E14" s="74" t="s">
        <v>141</v>
      </c>
      <c r="F14" s="74" t="s">
        <v>141</v>
      </c>
      <c r="G14" s="74" t="s">
        <v>134</v>
      </c>
      <c r="H14" s="74" t="s">
        <v>141</v>
      </c>
      <c r="I14" s="75" t="s">
        <v>168</v>
      </c>
      <c r="J14" s="75" t="s">
        <v>168</v>
      </c>
      <c r="K14" s="75" t="s">
        <v>169</v>
      </c>
      <c r="L14" s="74" t="s">
        <v>145</v>
      </c>
      <c r="M14" s="73" t="s">
        <v>137</v>
      </c>
      <c r="N14" s="73"/>
      <c r="O14" s="77" t="s">
        <v>15</v>
      </c>
      <c r="P14" s="77" t="s">
        <v>15</v>
      </c>
      <c r="Q14" s="77" t="s">
        <v>15</v>
      </c>
      <c r="R14" s="77" t="s">
        <v>15</v>
      </c>
      <c r="S14" s="77" t="s">
        <v>15</v>
      </c>
      <c r="T14" s="77" t="s">
        <v>15</v>
      </c>
      <c r="U14" s="77" t="s">
        <v>15</v>
      </c>
      <c r="V14" s="78" t="s">
        <v>41</v>
      </c>
      <c r="W14" s="77" t="s">
        <v>15</v>
      </c>
      <c r="X14" s="77" t="s">
        <v>15</v>
      </c>
      <c r="Y14" s="77" t="s">
        <v>15</v>
      </c>
      <c r="Z14" s="77" t="s">
        <v>15</v>
      </c>
    </row>
    <row r="15" spans="1:26">
      <c r="A15" s="72">
        <v>14</v>
      </c>
      <c r="B15" s="73" t="s">
        <v>170</v>
      </c>
      <c r="C15" s="74" t="s">
        <v>141</v>
      </c>
      <c r="D15" s="74" t="s">
        <v>141</v>
      </c>
      <c r="E15" s="74" t="s">
        <v>141</v>
      </c>
      <c r="F15" s="74" t="s">
        <v>141</v>
      </c>
      <c r="G15" s="74" t="s">
        <v>134</v>
      </c>
      <c r="H15" s="74" t="s">
        <v>141</v>
      </c>
      <c r="I15" s="75" t="s">
        <v>171</v>
      </c>
      <c r="J15" s="75" t="s">
        <v>171</v>
      </c>
      <c r="K15" s="75" t="s">
        <v>136</v>
      </c>
      <c r="L15" s="74" t="s">
        <v>145</v>
      </c>
      <c r="M15" s="73" t="s">
        <v>137</v>
      </c>
      <c r="N15" s="73"/>
      <c r="O15" s="77" t="s">
        <v>15</v>
      </c>
      <c r="P15" s="77" t="s">
        <v>15</v>
      </c>
      <c r="Q15" s="77" t="s">
        <v>15</v>
      </c>
      <c r="R15" s="77" t="s">
        <v>15</v>
      </c>
      <c r="S15" s="77" t="s">
        <v>15</v>
      </c>
      <c r="T15" s="77" t="s">
        <v>15</v>
      </c>
      <c r="U15" s="77" t="s">
        <v>15</v>
      </c>
      <c r="V15" s="78" t="s">
        <v>41</v>
      </c>
      <c r="W15" s="77" t="s">
        <v>15</v>
      </c>
      <c r="X15" s="77" t="s">
        <v>15</v>
      </c>
      <c r="Y15" s="77" t="s">
        <v>15</v>
      </c>
      <c r="Z15" s="77" t="s">
        <v>15</v>
      </c>
    </row>
    <row r="16" spans="1:26">
      <c r="A16" s="72">
        <v>15</v>
      </c>
      <c r="B16" s="73" t="s">
        <v>172</v>
      </c>
      <c r="C16" s="74" t="s">
        <v>141</v>
      </c>
      <c r="D16" s="74" t="s">
        <v>134</v>
      </c>
      <c r="E16" s="74" t="s">
        <v>141</v>
      </c>
      <c r="F16" s="74" t="s">
        <v>141</v>
      </c>
      <c r="G16" s="74" t="s">
        <v>141</v>
      </c>
      <c r="H16" s="74" t="s">
        <v>141</v>
      </c>
      <c r="I16" s="75" t="s">
        <v>173</v>
      </c>
      <c r="J16" s="75" t="s">
        <v>173</v>
      </c>
      <c r="K16" s="75" t="s">
        <v>144</v>
      </c>
      <c r="L16" s="74" t="s">
        <v>145</v>
      </c>
      <c r="M16" s="73" t="s">
        <v>137</v>
      </c>
      <c r="N16" s="73"/>
      <c r="O16" s="77" t="s">
        <v>15</v>
      </c>
      <c r="P16" s="77" t="s">
        <v>15</v>
      </c>
      <c r="Q16" s="77" t="s">
        <v>15</v>
      </c>
      <c r="R16" s="77" t="s">
        <v>15</v>
      </c>
      <c r="S16" s="77" t="s">
        <v>15</v>
      </c>
      <c r="T16" s="77" t="s">
        <v>15</v>
      </c>
      <c r="U16" s="77" t="s">
        <v>15</v>
      </c>
      <c r="V16" s="77" t="s">
        <v>15</v>
      </c>
      <c r="W16" s="77" t="s">
        <v>15</v>
      </c>
      <c r="X16" s="77" t="s">
        <v>15</v>
      </c>
      <c r="Y16" s="78" t="s">
        <v>41</v>
      </c>
      <c r="Z16" s="77" t="s">
        <v>15</v>
      </c>
    </row>
    <row r="17" spans="1:26">
      <c r="A17" s="72">
        <v>16</v>
      </c>
      <c r="B17" s="73" t="s">
        <v>174</v>
      </c>
      <c r="C17" s="74" t="s">
        <v>134</v>
      </c>
      <c r="D17" s="74" t="s">
        <v>141</v>
      </c>
      <c r="E17" s="74" t="s">
        <v>141</v>
      </c>
      <c r="F17" s="74" t="s">
        <v>141</v>
      </c>
      <c r="G17" s="74" t="s">
        <v>141</v>
      </c>
      <c r="H17" s="74" t="s">
        <v>141</v>
      </c>
      <c r="I17" s="75" t="s">
        <v>175</v>
      </c>
      <c r="J17" s="75" t="s">
        <v>175</v>
      </c>
      <c r="K17" s="75" t="s">
        <v>144</v>
      </c>
      <c r="L17" s="74" t="s">
        <v>145</v>
      </c>
      <c r="M17" s="73" t="s">
        <v>137</v>
      </c>
      <c r="N17" s="73"/>
      <c r="O17" s="77" t="s">
        <v>15</v>
      </c>
      <c r="P17" s="77" t="s">
        <v>15</v>
      </c>
      <c r="Q17" s="77" t="s">
        <v>15</v>
      </c>
      <c r="R17" s="77" t="s">
        <v>15</v>
      </c>
      <c r="S17" s="77" t="s">
        <v>15</v>
      </c>
      <c r="T17" s="77" t="s">
        <v>15</v>
      </c>
      <c r="U17" s="77" t="s">
        <v>15</v>
      </c>
      <c r="V17" s="77" t="s">
        <v>15</v>
      </c>
      <c r="W17" s="77" t="s">
        <v>15</v>
      </c>
      <c r="X17" s="77" t="s">
        <v>15</v>
      </c>
      <c r="Y17" s="77" t="s">
        <v>15</v>
      </c>
      <c r="Z17" s="78" t="s">
        <v>41</v>
      </c>
    </row>
    <row r="18" spans="1:26">
      <c r="A18" s="72">
        <v>17</v>
      </c>
      <c r="B18" s="73" t="s">
        <v>176</v>
      </c>
      <c r="C18" s="74" t="s">
        <v>134</v>
      </c>
      <c r="D18" s="74" t="s">
        <v>141</v>
      </c>
      <c r="E18" s="74" t="s">
        <v>141</v>
      </c>
      <c r="F18" s="74" t="s">
        <v>141</v>
      </c>
      <c r="G18" s="74" t="s">
        <v>141</v>
      </c>
      <c r="H18" s="74" t="s">
        <v>141</v>
      </c>
      <c r="I18" s="75" t="s">
        <v>177</v>
      </c>
      <c r="J18" s="75" t="s">
        <v>177</v>
      </c>
      <c r="K18" s="75" t="s">
        <v>144</v>
      </c>
      <c r="L18" s="74" t="s">
        <v>145</v>
      </c>
      <c r="M18" s="73" t="s">
        <v>137</v>
      </c>
      <c r="N18" s="73"/>
      <c r="O18" s="77" t="s">
        <v>15</v>
      </c>
      <c r="P18" s="77" t="s">
        <v>15</v>
      </c>
      <c r="Q18" s="77" t="s">
        <v>15</v>
      </c>
      <c r="R18" s="77" t="s">
        <v>15</v>
      </c>
      <c r="S18" s="77" t="s">
        <v>15</v>
      </c>
      <c r="T18" s="77" t="s">
        <v>15</v>
      </c>
      <c r="U18" s="77" t="s">
        <v>15</v>
      </c>
      <c r="V18" s="77" t="s">
        <v>15</v>
      </c>
      <c r="W18" s="77" t="s">
        <v>15</v>
      </c>
      <c r="X18" s="77" t="s">
        <v>15</v>
      </c>
      <c r="Y18" s="77" t="s">
        <v>15</v>
      </c>
      <c r="Z18" s="78" t="s">
        <v>41</v>
      </c>
    </row>
    <row r="19" spans="1:26">
      <c r="A19" s="72">
        <v>18</v>
      </c>
      <c r="B19" s="73" t="s">
        <v>178</v>
      </c>
      <c r="C19" s="74" t="s">
        <v>134</v>
      </c>
      <c r="D19" s="74" t="s">
        <v>141</v>
      </c>
      <c r="E19" s="74" t="s">
        <v>141</v>
      </c>
      <c r="F19" s="74" t="s">
        <v>141</v>
      </c>
      <c r="G19" s="74" t="s">
        <v>141</v>
      </c>
      <c r="H19" s="74" t="s">
        <v>141</v>
      </c>
      <c r="I19" s="75" t="s">
        <v>179</v>
      </c>
      <c r="J19" s="75" t="s">
        <v>179</v>
      </c>
      <c r="K19" s="75" t="s">
        <v>144</v>
      </c>
      <c r="L19" s="74" t="s">
        <v>145</v>
      </c>
      <c r="M19" s="73" t="s">
        <v>137</v>
      </c>
      <c r="N19" s="73"/>
      <c r="O19" s="77" t="s">
        <v>15</v>
      </c>
      <c r="P19" s="77" t="s">
        <v>15</v>
      </c>
      <c r="Q19" s="77" t="s">
        <v>15</v>
      </c>
      <c r="R19" s="77" t="s">
        <v>15</v>
      </c>
      <c r="S19" s="77" t="s">
        <v>15</v>
      </c>
      <c r="T19" s="77" t="s">
        <v>15</v>
      </c>
      <c r="U19" s="77" t="s">
        <v>15</v>
      </c>
      <c r="V19" s="77" t="s">
        <v>15</v>
      </c>
      <c r="W19" s="77" t="s">
        <v>15</v>
      </c>
      <c r="X19" s="77" t="s">
        <v>15</v>
      </c>
      <c r="Y19" s="77" t="s">
        <v>15</v>
      </c>
      <c r="Z19" s="78" t="s">
        <v>41</v>
      </c>
    </row>
    <row r="20" spans="1:26">
      <c r="A20" s="72">
        <v>19</v>
      </c>
      <c r="B20" s="73" t="s">
        <v>180</v>
      </c>
      <c r="C20" s="74" t="s">
        <v>141</v>
      </c>
      <c r="D20" s="74" t="s">
        <v>141</v>
      </c>
      <c r="E20" s="74" t="s">
        <v>134</v>
      </c>
      <c r="F20" s="74" t="s">
        <v>141</v>
      </c>
      <c r="G20" s="74" t="s">
        <v>141</v>
      </c>
      <c r="H20" s="74" t="s">
        <v>141</v>
      </c>
      <c r="I20" s="75" t="s">
        <v>181</v>
      </c>
      <c r="J20" s="75" t="s">
        <v>181</v>
      </c>
      <c r="K20" s="75" t="s">
        <v>144</v>
      </c>
      <c r="L20" s="74" t="s">
        <v>145</v>
      </c>
      <c r="M20" s="73" t="s">
        <v>137</v>
      </c>
      <c r="N20" s="73"/>
      <c r="O20" s="77" t="s">
        <v>15</v>
      </c>
      <c r="P20" s="77" t="s">
        <v>15</v>
      </c>
      <c r="Q20" s="77" t="s">
        <v>15</v>
      </c>
      <c r="R20" s="77" t="s">
        <v>15</v>
      </c>
      <c r="S20" s="77" t="s">
        <v>15</v>
      </c>
      <c r="T20" s="77" t="s">
        <v>15</v>
      </c>
      <c r="U20" s="77" t="s">
        <v>15</v>
      </c>
      <c r="V20" s="77" t="s">
        <v>15</v>
      </c>
      <c r="W20" s="77" t="s">
        <v>15</v>
      </c>
      <c r="X20" s="78" t="s">
        <v>41</v>
      </c>
      <c r="Y20" s="77" t="s">
        <v>15</v>
      </c>
      <c r="Z20" s="77" t="s">
        <v>15</v>
      </c>
    </row>
    <row r="21" spans="1:26">
      <c r="A21" s="72">
        <v>20</v>
      </c>
      <c r="B21" s="73" t="s">
        <v>182</v>
      </c>
      <c r="C21" s="74" t="s">
        <v>141</v>
      </c>
      <c r="D21" s="74" t="s">
        <v>141</v>
      </c>
      <c r="E21" s="74" t="s">
        <v>134</v>
      </c>
      <c r="F21" s="74" t="s">
        <v>141</v>
      </c>
      <c r="G21" s="74" t="s">
        <v>141</v>
      </c>
      <c r="H21" s="74" t="s">
        <v>141</v>
      </c>
      <c r="I21" s="75" t="s">
        <v>183</v>
      </c>
      <c r="J21" s="75" t="s">
        <v>184</v>
      </c>
      <c r="K21" s="75" t="s">
        <v>144</v>
      </c>
      <c r="L21" s="74" t="s">
        <v>145</v>
      </c>
      <c r="M21" s="73" t="s">
        <v>137</v>
      </c>
      <c r="N21" s="73"/>
      <c r="O21" s="77" t="s">
        <v>15</v>
      </c>
      <c r="P21" s="77" t="s">
        <v>15</v>
      </c>
      <c r="Q21" s="77" t="s">
        <v>15</v>
      </c>
      <c r="R21" s="77" t="s">
        <v>15</v>
      </c>
      <c r="S21" s="77" t="s">
        <v>15</v>
      </c>
      <c r="T21" s="77" t="s">
        <v>15</v>
      </c>
      <c r="U21" s="77" t="s">
        <v>15</v>
      </c>
      <c r="V21" s="77" t="s">
        <v>15</v>
      </c>
      <c r="W21" s="77" t="s">
        <v>15</v>
      </c>
      <c r="X21" s="78" t="s">
        <v>41</v>
      </c>
      <c r="Y21" s="77" t="s">
        <v>15</v>
      </c>
      <c r="Z21" s="77" t="s">
        <v>15</v>
      </c>
    </row>
    <row r="22" spans="1:26">
      <c r="A22" s="72">
        <v>21</v>
      </c>
      <c r="B22" s="73" t="s">
        <v>185</v>
      </c>
      <c r="C22" s="74" t="s">
        <v>141</v>
      </c>
      <c r="D22" s="74" t="s">
        <v>141</v>
      </c>
      <c r="E22" s="74" t="s">
        <v>134</v>
      </c>
      <c r="F22" s="74" t="s">
        <v>141</v>
      </c>
      <c r="G22" s="74" t="s">
        <v>141</v>
      </c>
      <c r="H22" s="74" t="s">
        <v>141</v>
      </c>
      <c r="I22" s="75" t="s">
        <v>186</v>
      </c>
      <c r="J22" s="75" t="s">
        <v>186</v>
      </c>
      <c r="K22" s="75" t="s">
        <v>144</v>
      </c>
      <c r="L22" s="74" t="s">
        <v>145</v>
      </c>
      <c r="M22" s="73" t="s">
        <v>137</v>
      </c>
      <c r="N22" s="73"/>
      <c r="O22" s="77" t="s">
        <v>15</v>
      </c>
      <c r="P22" s="77" t="s">
        <v>15</v>
      </c>
      <c r="Q22" s="77" t="s">
        <v>15</v>
      </c>
      <c r="R22" s="77" t="s">
        <v>15</v>
      </c>
      <c r="S22" s="77" t="s">
        <v>15</v>
      </c>
      <c r="T22" s="77" t="s">
        <v>15</v>
      </c>
      <c r="U22" s="77" t="s">
        <v>15</v>
      </c>
      <c r="V22" s="77" t="s">
        <v>15</v>
      </c>
      <c r="W22" s="77" t="s">
        <v>15</v>
      </c>
      <c r="X22" s="78" t="s">
        <v>41</v>
      </c>
      <c r="Y22" s="77" t="s">
        <v>15</v>
      </c>
      <c r="Z22" s="77" t="s">
        <v>15</v>
      </c>
    </row>
    <row r="23" spans="1:26">
      <c r="A23" s="72">
        <v>22</v>
      </c>
      <c r="B23" s="73" t="s">
        <v>187</v>
      </c>
      <c r="C23" s="74" t="s">
        <v>141</v>
      </c>
      <c r="D23" s="74" t="s">
        <v>141</v>
      </c>
      <c r="E23" s="74" t="s">
        <v>134</v>
      </c>
      <c r="F23" s="74" t="s">
        <v>141</v>
      </c>
      <c r="G23" s="74" t="s">
        <v>141</v>
      </c>
      <c r="H23" s="74" t="s">
        <v>141</v>
      </c>
      <c r="I23" s="75" t="s">
        <v>188</v>
      </c>
      <c r="J23" s="75" t="s">
        <v>188</v>
      </c>
      <c r="K23" s="75" t="s">
        <v>144</v>
      </c>
      <c r="L23" s="74" t="s">
        <v>145</v>
      </c>
      <c r="M23" s="73" t="s">
        <v>137</v>
      </c>
      <c r="N23" s="73"/>
      <c r="O23" s="77" t="s">
        <v>15</v>
      </c>
      <c r="P23" s="77" t="s">
        <v>15</v>
      </c>
      <c r="Q23" s="77" t="s">
        <v>15</v>
      </c>
      <c r="R23" s="77" t="s">
        <v>15</v>
      </c>
      <c r="S23" s="77" t="s">
        <v>15</v>
      </c>
      <c r="T23" s="77" t="s">
        <v>15</v>
      </c>
      <c r="U23" s="77" t="s">
        <v>15</v>
      </c>
      <c r="V23" s="77" t="s">
        <v>15</v>
      </c>
      <c r="W23" s="77" t="s">
        <v>15</v>
      </c>
      <c r="X23" s="78" t="s">
        <v>41</v>
      </c>
      <c r="Y23" s="77" t="s">
        <v>15</v>
      </c>
      <c r="Z23" s="77" t="s">
        <v>15</v>
      </c>
    </row>
    <row r="24" spans="1:26">
      <c r="A24" s="72">
        <v>23</v>
      </c>
      <c r="B24" s="73" t="s">
        <v>189</v>
      </c>
      <c r="C24" s="74" t="s">
        <v>141</v>
      </c>
      <c r="D24" s="74" t="s">
        <v>141</v>
      </c>
      <c r="E24" s="74" t="s">
        <v>141</v>
      </c>
      <c r="F24" s="74" t="s">
        <v>141</v>
      </c>
      <c r="G24" s="74" t="s">
        <v>141</v>
      </c>
      <c r="H24" s="74" t="s">
        <v>134</v>
      </c>
      <c r="I24" s="75" t="s">
        <v>190</v>
      </c>
      <c r="J24" s="75" t="s">
        <v>190</v>
      </c>
      <c r="K24" s="75" t="s">
        <v>191</v>
      </c>
      <c r="L24" s="74" t="s">
        <v>192</v>
      </c>
      <c r="M24" s="73" t="s">
        <v>137</v>
      </c>
      <c r="N24" s="64"/>
      <c r="O24" s="77" t="s">
        <v>15</v>
      </c>
      <c r="P24" s="77" t="s">
        <v>15</v>
      </c>
      <c r="Q24" s="77" t="s">
        <v>15</v>
      </c>
      <c r="R24" s="77" t="s">
        <v>15</v>
      </c>
      <c r="S24" s="77" t="s">
        <v>15</v>
      </c>
      <c r="T24" s="77" t="s">
        <v>15</v>
      </c>
      <c r="U24" s="77" t="s">
        <v>15</v>
      </c>
      <c r="V24" s="77" t="s">
        <v>15</v>
      </c>
      <c r="W24" s="78" t="s">
        <v>41</v>
      </c>
      <c r="X24" s="77" t="s">
        <v>15</v>
      </c>
      <c r="Y24" s="77" t="s">
        <v>15</v>
      </c>
      <c r="Z24" s="77" t="s">
        <v>15</v>
      </c>
    </row>
    <row r="25" spans="1:26">
      <c r="A25" s="72">
        <v>24</v>
      </c>
      <c r="B25" s="73" t="s">
        <v>193</v>
      </c>
      <c r="C25" s="74" t="s">
        <v>134</v>
      </c>
      <c r="D25" s="74" t="s">
        <v>141</v>
      </c>
      <c r="E25" s="74" t="s">
        <v>141</v>
      </c>
      <c r="F25" s="74" t="s">
        <v>141</v>
      </c>
      <c r="G25" s="74" t="s">
        <v>141</v>
      </c>
      <c r="H25" s="74" t="s">
        <v>141</v>
      </c>
      <c r="I25" s="75" t="s">
        <v>194</v>
      </c>
      <c r="J25" s="75" t="s">
        <v>195</v>
      </c>
      <c r="K25" s="75" t="s">
        <v>191</v>
      </c>
      <c r="L25" s="74" t="s">
        <v>192</v>
      </c>
      <c r="M25" s="73" t="s">
        <v>137</v>
      </c>
      <c r="N25" s="64"/>
      <c r="O25" s="77" t="s">
        <v>15</v>
      </c>
      <c r="P25" s="77" t="s">
        <v>15</v>
      </c>
      <c r="Q25" s="77" t="s">
        <v>15</v>
      </c>
      <c r="R25" s="77" t="s">
        <v>15</v>
      </c>
      <c r="S25" s="77" t="s">
        <v>15</v>
      </c>
      <c r="T25" s="77" t="s">
        <v>15</v>
      </c>
      <c r="U25" s="77" t="s">
        <v>15</v>
      </c>
      <c r="V25" s="77" t="s">
        <v>15</v>
      </c>
      <c r="W25" s="77" t="s">
        <v>15</v>
      </c>
      <c r="X25" s="77" t="s">
        <v>15</v>
      </c>
      <c r="Y25" s="77" t="s">
        <v>15</v>
      </c>
      <c r="Z25" s="78" t="s">
        <v>41</v>
      </c>
    </row>
    <row r="26" spans="1:26">
      <c r="A26" s="72">
        <v>25</v>
      </c>
      <c r="B26" s="73" t="s">
        <v>196</v>
      </c>
      <c r="C26" s="74" t="s">
        <v>141</v>
      </c>
      <c r="D26" s="74" t="s">
        <v>141</v>
      </c>
      <c r="E26" s="74" t="s">
        <v>134</v>
      </c>
      <c r="F26" s="74" t="s">
        <v>141</v>
      </c>
      <c r="G26" s="74" t="s">
        <v>141</v>
      </c>
      <c r="H26" s="74" t="s">
        <v>141</v>
      </c>
      <c r="I26" s="75" t="s">
        <v>197</v>
      </c>
      <c r="J26" s="75" t="s">
        <v>197</v>
      </c>
      <c r="K26" s="75" t="s">
        <v>191</v>
      </c>
      <c r="L26" s="74" t="s">
        <v>192</v>
      </c>
      <c r="M26" s="73" t="s">
        <v>137</v>
      </c>
      <c r="N26" s="64"/>
      <c r="O26" s="77" t="s">
        <v>15</v>
      </c>
      <c r="P26" s="77" t="s">
        <v>15</v>
      </c>
      <c r="Q26" s="77" t="s">
        <v>15</v>
      </c>
      <c r="R26" s="77" t="s">
        <v>15</v>
      </c>
      <c r="S26" s="77" t="s">
        <v>15</v>
      </c>
      <c r="T26" s="77" t="s">
        <v>15</v>
      </c>
      <c r="U26" s="77" t="s">
        <v>15</v>
      </c>
      <c r="V26" s="77" t="s">
        <v>15</v>
      </c>
      <c r="W26" s="77" t="s">
        <v>15</v>
      </c>
      <c r="X26" s="78" t="s">
        <v>41</v>
      </c>
      <c r="Y26" s="77" t="s">
        <v>15</v>
      </c>
      <c r="Z26" s="77" t="s">
        <v>15</v>
      </c>
    </row>
    <row r="27" spans="1:26">
      <c r="A27" s="72">
        <v>26</v>
      </c>
      <c r="B27" s="73" t="s">
        <v>198</v>
      </c>
      <c r="C27" s="74" t="s">
        <v>141</v>
      </c>
      <c r="D27" s="74" t="s">
        <v>134</v>
      </c>
      <c r="E27" s="74" t="s">
        <v>141</v>
      </c>
      <c r="F27" s="74" t="s">
        <v>141</v>
      </c>
      <c r="G27" s="74" t="s">
        <v>141</v>
      </c>
      <c r="H27" s="74" t="s">
        <v>141</v>
      </c>
      <c r="I27" s="75" t="s">
        <v>199</v>
      </c>
      <c r="J27" s="75" t="s">
        <v>199</v>
      </c>
      <c r="K27" s="75" t="s">
        <v>191</v>
      </c>
      <c r="L27" s="74" t="s">
        <v>192</v>
      </c>
      <c r="M27" s="73" t="s">
        <v>137</v>
      </c>
      <c r="N27" s="64"/>
      <c r="O27" s="77" t="s">
        <v>15</v>
      </c>
      <c r="P27" s="77" t="s">
        <v>15</v>
      </c>
      <c r="Q27" s="77" t="s">
        <v>15</v>
      </c>
      <c r="R27" s="77" t="s">
        <v>15</v>
      </c>
      <c r="S27" s="77" t="s">
        <v>15</v>
      </c>
      <c r="T27" s="77" t="s">
        <v>15</v>
      </c>
      <c r="U27" s="77" t="s">
        <v>15</v>
      </c>
      <c r="V27" s="77" t="s">
        <v>15</v>
      </c>
      <c r="W27" s="77" t="s">
        <v>15</v>
      </c>
      <c r="X27" s="77" t="s">
        <v>15</v>
      </c>
      <c r="Y27" s="78" t="s">
        <v>41</v>
      </c>
      <c r="Z27" s="77" t="s">
        <v>15</v>
      </c>
    </row>
    <row r="28" spans="1:26">
      <c r="A28" s="72">
        <v>27</v>
      </c>
      <c r="B28" s="73" t="s">
        <v>200</v>
      </c>
      <c r="C28" s="74" t="s">
        <v>134</v>
      </c>
      <c r="D28" s="74" t="s">
        <v>134</v>
      </c>
      <c r="E28" s="74" t="s">
        <v>134</v>
      </c>
      <c r="F28" s="74" t="s">
        <v>134</v>
      </c>
      <c r="G28" s="74" t="s">
        <v>134</v>
      </c>
      <c r="H28" s="74" t="s">
        <v>134</v>
      </c>
      <c r="I28" s="75" t="s">
        <v>201</v>
      </c>
      <c r="J28" s="75" t="s">
        <v>201</v>
      </c>
      <c r="K28" s="75" t="s">
        <v>191</v>
      </c>
      <c r="L28" s="76"/>
      <c r="M28" s="73" t="s">
        <v>137</v>
      </c>
      <c r="N28" s="64"/>
      <c r="O28" s="77" t="s">
        <v>15</v>
      </c>
      <c r="P28" s="77" t="s">
        <v>15</v>
      </c>
      <c r="Q28" s="77" t="s">
        <v>15</v>
      </c>
      <c r="R28" s="77" t="s">
        <v>15</v>
      </c>
      <c r="S28" s="77" t="s">
        <v>15</v>
      </c>
      <c r="T28" s="77" t="s">
        <v>15</v>
      </c>
      <c r="U28" s="78" t="s">
        <v>41</v>
      </c>
      <c r="V28" s="78" t="s">
        <v>41</v>
      </c>
      <c r="W28" s="78" t="s">
        <v>41</v>
      </c>
      <c r="X28" s="78" t="s">
        <v>41</v>
      </c>
      <c r="Y28" s="78" t="s">
        <v>41</v>
      </c>
      <c r="Z28" s="78" t="s">
        <v>41</v>
      </c>
    </row>
    <row r="29" spans="1:26">
      <c r="A29" s="72">
        <v>28</v>
      </c>
      <c r="B29" s="73" t="s">
        <v>202</v>
      </c>
      <c r="C29" s="74" t="s">
        <v>134</v>
      </c>
      <c r="D29" s="74" t="s">
        <v>134</v>
      </c>
      <c r="E29" s="74" t="s">
        <v>134</v>
      </c>
      <c r="F29" s="74" t="s">
        <v>134</v>
      </c>
      <c r="G29" s="74" t="s">
        <v>134</v>
      </c>
      <c r="H29" s="74" t="s">
        <v>134</v>
      </c>
      <c r="I29" s="75" t="s">
        <v>203</v>
      </c>
      <c r="J29" s="75" t="s">
        <v>203</v>
      </c>
      <c r="K29" s="75" t="s">
        <v>40</v>
      </c>
      <c r="L29" s="74" t="s">
        <v>204</v>
      </c>
      <c r="M29" s="73" t="s">
        <v>137</v>
      </c>
      <c r="N29" s="73"/>
      <c r="O29" s="77" t="s">
        <v>15</v>
      </c>
      <c r="P29" s="77" t="s">
        <v>15</v>
      </c>
      <c r="Q29" s="77" t="s">
        <v>15</v>
      </c>
      <c r="R29" s="77" t="s">
        <v>15</v>
      </c>
      <c r="S29" s="77" t="s">
        <v>15</v>
      </c>
      <c r="T29" s="77" t="s">
        <v>15</v>
      </c>
      <c r="U29" s="78" t="s">
        <v>41</v>
      </c>
      <c r="V29" s="78" t="s">
        <v>41</v>
      </c>
      <c r="W29" s="78" t="s">
        <v>41</v>
      </c>
      <c r="X29" s="78" t="s">
        <v>41</v>
      </c>
      <c r="Y29" s="78" t="s">
        <v>41</v>
      </c>
      <c r="Z29" s="78" t="s">
        <v>41</v>
      </c>
    </row>
    <row r="30" spans="1:26">
      <c r="A30" s="72">
        <v>29</v>
      </c>
      <c r="B30" s="73" t="s">
        <v>205</v>
      </c>
      <c r="C30" s="74" t="s">
        <v>134</v>
      </c>
      <c r="D30" s="74" t="s">
        <v>134</v>
      </c>
      <c r="E30" s="74" t="s">
        <v>134</v>
      </c>
      <c r="F30" s="74" t="s">
        <v>134</v>
      </c>
      <c r="G30" s="74" t="s">
        <v>134</v>
      </c>
      <c r="H30" s="74" t="s">
        <v>134</v>
      </c>
      <c r="I30" s="75" t="s">
        <v>206</v>
      </c>
      <c r="J30" s="75" t="s">
        <v>206</v>
      </c>
      <c r="K30" s="75" t="s">
        <v>40</v>
      </c>
      <c r="L30" s="74" t="s">
        <v>204</v>
      </c>
      <c r="M30" s="73" t="s">
        <v>137</v>
      </c>
      <c r="N30" s="73"/>
      <c r="O30" s="77" t="s">
        <v>15</v>
      </c>
      <c r="P30" s="77" t="s">
        <v>15</v>
      </c>
      <c r="Q30" s="77" t="s">
        <v>15</v>
      </c>
      <c r="R30" s="77" t="s">
        <v>15</v>
      </c>
      <c r="S30" s="77" t="s">
        <v>15</v>
      </c>
      <c r="T30" s="77" t="s">
        <v>15</v>
      </c>
      <c r="U30" s="78" t="s">
        <v>41</v>
      </c>
      <c r="V30" s="78" t="s">
        <v>41</v>
      </c>
      <c r="W30" s="78" t="s">
        <v>41</v>
      </c>
      <c r="X30" s="78" t="s">
        <v>41</v>
      </c>
      <c r="Y30" s="78" t="s">
        <v>41</v>
      </c>
      <c r="Z30" s="78" t="s">
        <v>41</v>
      </c>
    </row>
    <row r="31" spans="1:26">
      <c r="A31" s="72">
        <v>30</v>
      </c>
      <c r="B31" s="73" t="s">
        <v>207</v>
      </c>
      <c r="C31" s="74" t="s">
        <v>134</v>
      </c>
      <c r="D31" s="74" t="s">
        <v>134</v>
      </c>
      <c r="E31" s="74" t="s">
        <v>134</v>
      </c>
      <c r="F31" s="74" t="s">
        <v>134</v>
      </c>
      <c r="G31" s="74" t="s">
        <v>134</v>
      </c>
      <c r="H31" s="74" t="s">
        <v>134</v>
      </c>
      <c r="I31" s="75" t="s">
        <v>208</v>
      </c>
      <c r="J31" s="75" t="s">
        <v>208</v>
      </c>
      <c r="K31" s="75" t="s">
        <v>40</v>
      </c>
      <c r="L31" s="74" t="s">
        <v>204</v>
      </c>
      <c r="M31" s="73" t="s">
        <v>137</v>
      </c>
      <c r="N31" s="73"/>
      <c r="O31" s="77" t="s">
        <v>15</v>
      </c>
      <c r="P31" s="77" t="s">
        <v>15</v>
      </c>
      <c r="Q31" s="77" t="s">
        <v>15</v>
      </c>
      <c r="R31" s="77" t="s">
        <v>15</v>
      </c>
      <c r="S31" s="77" t="s">
        <v>15</v>
      </c>
      <c r="T31" s="77" t="s">
        <v>15</v>
      </c>
      <c r="U31" s="78" t="s">
        <v>41</v>
      </c>
      <c r="V31" s="78" t="s">
        <v>41</v>
      </c>
      <c r="W31" s="78" t="s">
        <v>41</v>
      </c>
      <c r="X31" s="78" t="s">
        <v>41</v>
      </c>
      <c r="Y31" s="78" t="s">
        <v>41</v>
      </c>
      <c r="Z31" s="78" t="s">
        <v>41</v>
      </c>
    </row>
    <row r="32" spans="1:26">
      <c r="A32" s="72">
        <v>31</v>
      </c>
      <c r="B32" s="73" t="s">
        <v>209</v>
      </c>
      <c r="C32" s="74" t="s">
        <v>141</v>
      </c>
      <c r="D32" s="74" t="s">
        <v>141</v>
      </c>
      <c r="E32" s="74" t="s">
        <v>134</v>
      </c>
      <c r="F32" s="74" t="s">
        <v>141</v>
      </c>
      <c r="G32" s="74" t="s">
        <v>141</v>
      </c>
      <c r="H32" s="74" t="s">
        <v>141</v>
      </c>
      <c r="I32" s="75" t="s">
        <v>210</v>
      </c>
      <c r="J32" s="75" t="s">
        <v>210</v>
      </c>
      <c r="K32" s="75" t="s">
        <v>40</v>
      </c>
      <c r="L32" s="76"/>
      <c r="M32" s="73" t="s">
        <v>137</v>
      </c>
      <c r="N32" s="64"/>
      <c r="O32" s="77" t="s">
        <v>15</v>
      </c>
      <c r="P32" s="77" t="s">
        <v>15</v>
      </c>
      <c r="Q32" s="77" t="s">
        <v>15</v>
      </c>
      <c r="R32" s="77" t="s">
        <v>15</v>
      </c>
      <c r="S32" s="77" t="s">
        <v>15</v>
      </c>
      <c r="T32" s="77" t="s">
        <v>15</v>
      </c>
      <c r="U32" s="77" t="s">
        <v>15</v>
      </c>
      <c r="V32" s="77" t="s">
        <v>15</v>
      </c>
      <c r="W32" s="77" t="s">
        <v>15</v>
      </c>
      <c r="X32" s="78" t="s">
        <v>41</v>
      </c>
      <c r="Y32" s="77" t="s">
        <v>15</v>
      </c>
      <c r="Z32" s="77" t="s">
        <v>15</v>
      </c>
    </row>
    <row r="33" spans="1:26">
      <c r="A33" s="72">
        <v>32</v>
      </c>
      <c r="B33" s="73" t="s">
        <v>211</v>
      </c>
      <c r="C33" s="74" t="s">
        <v>134</v>
      </c>
      <c r="D33" s="74" t="s">
        <v>141</v>
      </c>
      <c r="E33" s="74" t="s">
        <v>141</v>
      </c>
      <c r="F33" s="74" t="s">
        <v>141</v>
      </c>
      <c r="G33" s="74" t="s">
        <v>141</v>
      </c>
      <c r="H33" s="74" t="s">
        <v>141</v>
      </c>
      <c r="I33" s="75" t="s">
        <v>212</v>
      </c>
      <c r="J33" s="75" t="s">
        <v>212</v>
      </c>
      <c r="K33" s="75" t="s">
        <v>40</v>
      </c>
      <c r="L33" s="76"/>
      <c r="M33" s="73" t="s">
        <v>137</v>
      </c>
      <c r="N33" s="64"/>
      <c r="O33" s="77" t="s">
        <v>15</v>
      </c>
      <c r="P33" s="77" t="s">
        <v>15</v>
      </c>
      <c r="Q33" s="77" t="s">
        <v>15</v>
      </c>
      <c r="R33" s="77" t="s">
        <v>15</v>
      </c>
      <c r="S33" s="77" t="s">
        <v>15</v>
      </c>
      <c r="T33" s="77" t="s">
        <v>15</v>
      </c>
      <c r="U33" s="77" t="s">
        <v>15</v>
      </c>
      <c r="V33" s="77" t="s">
        <v>15</v>
      </c>
      <c r="W33" s="77" t="s">
        <v>15</v>
      </c>
      <c r="X33" s="77" t="s">
        <v>15</v>
      </c>
      <c r="Y33" s="77" t="s">
        <v>15</v>
      </c>
      <c r="Z33" s="78" t="s">
        <v>41</v>
      </c>
    </row>
    <row r="34" spans="1:26">
      <c r="A34" s="72">
        <v>33</v>
      </c>
      <c r="B34" s="73" t="s">
        <v>213</v>
      </c>
      <c r="C34" s="74" t="s">
        <v>141</v>
      </c>
      <c r="D34" s="74" t="s">
        <v>134</v>
      </c>
      <c r="E34" s="74" t="s">
        <v>141</v>
      </c>
      <c r="F34" s="74" t="s">
        <v>141</v>
      </c>
      <c r="G34" s="74" t="s">
        <v>141</v>
      </c>
      <c r="H34" s="74" t="s">
        <v>141</v>
      </c>
      <c r="I34" s="75" t="s">
        <v>214</v>
      </c>
      <c r="J34" s="75" t="s">
        <v>214</v>
      </c>
      <c r="K34" s="75" t="s">
        <v>40</v>
      </c>
      <c r="L34" s="76"/>
      <c r="M34" s="73" t="s">
        <v>137</v>
      </c>
      <c r="N34" s="64"/>
      <c r="O34" s="77" t="s">
        <v>15</v>
      </c>
      <c r="P34" s="77" t="s">
        <v>15</v>
      </c>
      <c r="Q34" s="77" t="s">
        <v>15</v>
      </c>
      <c r="R34" s="77" t="s">
        <v>15</v>
      </c>
      <c r="S34" s="77" t="s">
        <v>15</v>
      </c>
      <c r="T34" s="77" t="s">
        <v>15</v>
      </c>
      <c r="U34" s="77" t="s">
        <v>15</v>
      </c>
      <c r="V34" s="77" t="s">
        <v>15</v>
      </c>
      <c r="W34" s="77" t="s">
        <v>15</v>
      </c>
      <c r="X34" s="77" t="s">
        <v>15</v>
      </c>
      <c r="Y34" s="78" t="s">
        <v>41</v>
      </c>
      <c r="Z34" s="77" t="s">
        <v>15</v>
      </c>
    </row>
    <row r="35" spans="1:26">
      <c r="A35" s="72">
        <v>34</v>
      </c>
      <c r="B35" s="73" t="s">
        <v>215</v>
      </c>
      <c r="C35" s="74" t="s">
        <v>141</v>
      </c>
      <c r="D35" s="74" t="s">
        <v>141</v>
      </c>
      <c r="E35" s="74" t="s">
        <v>141</v>
      </c>
      <c r="F35" s="74" t="s">
        <v>141</v>
      </c>
      <c r="G35" s="74" t="s">
        <v>141</v>
      </c>
      <c r="H35" s="74" t="s">
        <v>134</v>
      </c>
      <c r="I35" s="75" t="s">
        <v>216</v>
      </c>
      <c r="J35" s="75" t="s">
        <v>216</v>
      </c>
      <c r="K35" s="75" t="s">
        <v>40</v>
      </c>
      <c r="L35" s="76"/>
      <c r="M35" s="73" t="s">
        <v>137</v>
      </c>
      <c r="N35" s="64"/>
      <c r="O35" s="77" t="s">
        <v>15</v>
      </c>
      <c r="P35" s="77" t="s">
        <v>15</v>
      </c>
      <c r="Q35" s="77" t="s">
        <v>15</v>
      </c>
      <c r="R35" s="77" t="s">
        <v>15</v>
      </c>
      <c r="S35" s="77" t="s">
        <v>15</v>
      </c>
      <c r="T35" s="77" t="s">
        <v>15</v>
      </c>
      <c r="U35" s="77" t="s">
        <v>15</v>
      </c>
      <c r="V35" s="77" t="s">
        <v>15</v>
      </c>
      <c r="W35" s="78" t="s">
        <v>41</v>
      </c>
      <c r="X35" s="77" t="s">
        <v>15</v>
      </c>
      <c r="Y35" s="77" t="s">
        <v>15</v>
      </c>
      <c r="Z35" s="77" t="s">
        <v>15</v>
      </c>
    </row>
    <row r="36" spans="1:26">
      <c r="A36" s="72">
        <v>35</v>
      </c>
      <c r="B36" s="73" t="s">
        <v>217</v>
      </c>
      <c r="C36" s="74" t="s">
        <v>141</v>
      </c>
      <c r="D36" s="74" t="s">
        <v>141</v>
      </c>
      <c r="E36" s="74" t="s">
        <v>141</v>
      </c>
      <c r="F36" s="74" t="s">
        <v>141</v>
      </c>
      <c r="G36" s="74" t="s">
        <v>141</v>
      </c>
      <c r="H36" s="74" t="s">
        <v>134</v>
      </c>
      <c r="I36" s="75" t="s">
        <v>218</v>
      </c>
      <c r="J36" s="75" t="s">
        <v>218</v>
      </c>
      <c r="K36" s="75" t="s">
        <v>40</v>
      </c>
      <c r="L36" s="76"/>
      <c r="M36" s="73" t="s">
        <v>137</v>
      </c>
      <c r="N36" s="64"/>
      <c r="O36" s="77" t="s">
        <v>15</v>
      </c>
      <c r="P36" s="77" t="s">
        <v>15</v>
      </c>
      <c r="Q36" s="77" t="s">
        <v>15</v>
      </c>
      <c r="R36" s="77" t="s">
        <v>15</v>
      </c>
      <c r="S36" s="77" t="s">
        <v>15</v>
      </c>
      <c r="T36" s="77" t="s">
        <v>15</v>
      </c>
      <c r="U36" s="77" t="s">
        <v>15</v>
      </c>
      <c r="V36" s="77" t="s">
        <v>15</v>
      </c>
      <c r="W36" s="78" t="s">
        <v>41</v>
      </c>
      <c r="X36" s="77" t="s">
        <v>15</v>
      </c>
      <c r="Y36" s="77" t="s">
        <v>15</v>
      </c>
      <c r="Z36" s="77" t="s">
        <v>15</v>
      </c>
    </row>
    <row r="37" spans="1:26">
      <c r="A37" s="72">
        <v>36</v>
      </c>
      <c r="B37" s="73" t="s">
        <v>219</v>
      </c>
      <c r="C37" s="74" t="s">
        <v>141</v>
      </c>
      <c r="D37" s="74" t="s">
        <v>141</v>
      </c>
      <c r="E37" s="74" t="s">
        <v>141</v>
      </c>
      <c r="F37" s="74" t="s">
        <v>141</v>
      </c>
      <c r="G37" s="74" t="s">
        <v>141</v>
      </c>
      <c r="H37" s="74" t="s">
        <v>134</v>
      </c>
      <c r="I37" s="75" t="s">
        <v>220</v>
      </c>
      <c r="J37" s="75" t="s">
        <v>220</v>
      </c>
      <c r="K37" s="75" t="s">
        <v>40</v>
      </c>
      <c r="L37" s="76"/>
      <c r="M37" s="73" t="s">
        <v>137</v>
      </c>
      <c r="N37" s="64"/>
      <c r="O37" s="77" t="s">
        <v>15</v>
      </c>
      <c r="P37" s="77" t="s">
        <v>15</v>
      </c>
      <c r="Q37" s="77" t="s">
        <v>15</v>
      </c>
      <c r="R37" s="77" t="s">
        <v>15</v>
      </c>
      <c r="S37" s="77" t="s">
        <v>15</v>
      </c>
      <c r="T37" s="77" t="s">
        <v>15</v>
      </c>
      <c r="U37" s="77" t="s">
        <v>15</v>
      </c>
      <c r="V37" s="77" t="s">
        <v>15</v>
      </c>
      <c r="W37" s="78" t="s">
        <v>41</v>
      </c>
      <c r="X37" s="77" t="s">
        <v>15</v>
      </c>
      <c r="Y37" s="77" t="s">
        <v>15</v>
      </c>
      <c r="Z37" s="77" t="s">
        <v>15</v>
      </c>
    </row>
    <row r="38" spans="1:26">
      <c r="A38" s="72">
        <v>37</v>
      </c>
      <c r="B38" s="73" t="s">
        <v>221</v>
      </c>
      <c r="C38" s="74" t="s">
        <v>141</v>
      </c>
      <c r="D38" s="74" t="s">
        <v>141</v>
      </c>
      <c r="E38" s="74" t="s">
        <v>141</v>
      </c>
      <c r="F38" s="74" t="s">
        <v>134</v>
      </c>
      <c r="G38" s="74" t="s">
        <v>141</v>
      </c>
      <c r="H38" s="74" t="s">
        <v>141</v>
      </c>
      <c r="I38" s="75" t="s">
        <v>222</v>
      </c>
      <c r="J38" s="75" t="s">
        <v>222</v>
      </c>
      <c r="K38" s="75" t="s">
        <v>40</v>
      </c>
      <c r="L38" s="76"/>
      <c r="M38" s="73" t="s">
        <v>137</v>
      </c>
      <c r="N38" s="64"/>
      <c r="O38" s="77" t="s">
        <v>15</v>
      </c>
      <c r="P38" s="77" t="s">
        <v>15</v>
      </c>
      <c r="Q38" s="77" t="s">
        <v>15</v>
      </c>
      <c r="R38" s="77" t="s">
        <v>15</v>
      </c>
      <c r="S38" s="77" t="s">
        <v>15</v>
      </c>
      <c r="T38" s="77" t="s">
        <v>15</v>
      </c>
      <c r="U38" s="78" t="s">
        <v>41</v>
      </c>
      <c r="V38" s="77" t="s">
        <v>15</v>
      </c>
      <c r="W38" s="77" t="s">
        <v>15</v>
      </c>
      <c r="X38" s="77" t="s">
        <v>15</v>
      </c>
      <c r="Y38" s="77" t="s">
        <v>15</v>
      </c>
      <c r="Z38" s="77" t="s">
        <v>15</v>
      </c>
    </row>
    <row r="39" spans="1:26">
      <c r="A39" s="72">
        <v>38</v>
      </c>
      <c r="B39" s="73" t="s">
        <v>223</v>
      </c>
      <c r="C39" s="74" t="s">
        <v>141</v>
      </c>
      <c r="D39" s="74" t="s">
        <v>141</v>
      </c>
      <c r="E39" s="74" t="s">
        <v>141</v>
      </c>
      <c r="F39" s="74" t="s">
        <v>134</v>
      </c>
      <c r="G39" s="74" t="s">
        <v>141</v>
      </c>
      <c r="H39" s="74" t="s">
        <v>141</v>
      </c>
      <c r="I39" s="75" t="s">
        <v>224</v>
      </c>
      <c r="J39" s="75" t="s">
        <v>224</v>
      </c>
      <c r="K39" s="75" t="s">
        <v>40</v>
      </c>
      <c r="L39" s="76"/>
      <c r="M39" s="73" t="s">
        <v>137</v>
      </c>
      <c r="N39" s="64"/>
      <c r="O39" s="77" t="s">
        <v>15</v>
      </c>
      <c r="P39" s="77" t="s">
        <v>15</v>
      </c>
      <c r="Q39" s="77" t="s">
        <v>15</v>
      </c>
      <c r="R39" s="77" t="s">
        <v>15</v>
      </c>
      <c r="S39" s="77" t="s">
        <v>15</v>
      </c>
      <c r="T39" s="77" t="s">
        <v>15</v>
      </c>
      <c r="U39" s="78" t="s">
        <v>41</v>
      </c>
      <c r="V39" s="77" t="s">
        <v>15</v>
      </c>
      <c r="W39" s="77" t="s">
        <v>15</v>
      </c>
      <c r="X39" s="77" t="s">
        <v>15</v>
      </c>
      <c r="Y39" s="77" t="s">
        <v>15</v>
      </c>
      <c r="Z39" s="77" t="s">
        <v>15</v>
      </c>
    </row>
    <row r="40" spans="1:26">
      <c r="A40" s="72">
        <v>39</v>
      </c>
      <c r="B40" s="73" t="s">
        <v>225</v>
      </c>
      <c r="C40" s="74" t="s">
        <v>141</v>
      </c>
      <c r="D40" s="74" t="s">
        <v>141</v>
      </c>
      <c r="E40" s="74" t="s">
        <v>141</v>
      </c>
      <c r="F40" s="74" t="s">
        <v>134</v>
      </c>
      <c r="G40" s="74" t="s">
        <v>141</v>
      </c>
      <c r="H40" s="74" t="s">
        <v>141</v>
      </c>
      <c r="I40" s="75" t="s">
        <v>226</v>
      </c>
      <c r="J40" s="75" t="s">
        <v>226</v>
      </c>
      <c r="K40" s="75" t="s">
        <v>40</v>
      </c>
      <c r="L40" s="76"/>
      <c r="M40" s="73" t="s">
        <v>137</v>
      </c>
      <c r="N40" s="64"/>
      <c r="O40" s="77" t="s">
        <v>15</v>
      </c>
      <c r="P40" s="77" t="s">
        <v>15</v>
      </c>
      <c r="Q40" s="77" t="s">
        <v>15</v>
      </c>
      <c r="R40" s="77" t="s">
        <v>15</v>
      </c>
      <c r="S40" s="77" t="s">
        <v>15</v>
      </c>
      <c r="T40" s="77" t="s">
        <v>15</v>
      </c>
      <c r="U40" s="78" t="s">
        <v>41</v>
      </c>
      <c r="V40" s="77" t="s">
        <v>15</v>
      </c>
      <c r="W40" s="77" t="s">
        <v>15</v>
      </c>
      <c r="X40" s="77" t="s">
        <v>15</v>
      </c>
      <c r="Y40" s="77" t="s">
        <v>15</v>
      </c>
      <c r="Z40" s="77" t="s">
        <v>15</v>
      </c>
    </row>
    <row r="41" spans="1:26">
      <c r="A41" s="72">
        <v>40</v>
      </c>
      <c r="B41" s="73" t="s">
        <v>227</v>
      </c>
      <c r="C41" s="74" t="s">
        <v>141</v>
      </c>
      <c r="D41" s="74" t="s">
        <v>141</v>
      </c>
      <c r="E41" s="74" t="s">
        <v>141</v>
      </c>
      <c r="F41" s="74" t="s">
        <v>141</v>
      </c>
      <c r="G41" s="74" t="s">
        <v>134</v>
      </c>
      <c r="H41" s="74" t="s">
        <v>141</v>
      </c>
      <c r="I41" s="75" t="s">
        <v>228</v>
      </c>
      <c r="J41" s="75" t="s">
        <v>228</v>
      </c>
      <c r="K41" s="75" t="s">
        <v>40</v>
      </c>
      <c r="L41" s="76"/>
      <c r="M41" s="73" t="s">
        <v>137</v>
      </c>
      <c r="N41" s="64"/>
      <c r="O41" s="77" t="s">
        <v>15</v>
      </c>
      <c r="P41" s="77" t="s">
        <v>15</v>
      </c>
      <c r="Q41" s="77" t="s">
        <v>15</v>
      </c>
      <c r="R41" s="77" t="s">
        <v>15</v>
      </c>
      <c r="S41" s="77" t="s">
        <v>15</v>
      </c>
      <c r="T41" s="77" t="s">
        <v>15</v>
      </c>
      <c r="U41" s="77" t="s">
        <v>15</v>
      </c>
      <c r="V41" s="78" t="s">
        <v>41</v>
      </c>
      <c r="W41" s="77" t="s">
        <v>15</v>
      </c>
      <c r="X41" s="77" t="s">
        <v>15</v>
      </c>
      <c r="Y41" s="77" t="s">
        <v>15</v>
      </c>
      <c r="Z41" s="77" t="s">
        <v>15</v>
      </c>
    </row>
    <row r="42" spans="1:26">
      <c r="A42" s="72">
        <v>41</v>
      </c>
      <c r="B42" s="73" t="s">
        <v>229</v>
      </c>
      <c r="C42" s="74" t="s">
        <v>141</v>
      </c>
      <c r="D42" s="74" t="s">
        <v>141</v>
      </c>
      <c r="E42" s="74" t="s">
        <v>141</v>
      </c>
      <c r="F42" s="74" t="s">
        <v>141</v>
      </c>
      <c r="G42" s="74" t="s">
        <v>134</v>
      </c>
      <c r="H42" s="74" t="s">
        <v>141</v>
      </c>
      <c r="I42" s="75" t="s">
        <v>230</v>
      </c>
      <c r="J42" s="75" t="s">
        <v>231</v>
      </c>
      <c r="K42" s="75" t="s">
        <v>232</v>
      </c>
      <c r="L42" s="74" t="s">
        <v>233</v>
      </c>
      <c r="M42" s="73" t="s">
        <v>137</v>
      </c>
      <c r="N42" s="73"/>
      <c r="O42" s="77" t="s">
        <v>15</v>
      </c>
      <c r="P42" s="77" t="s">
        <v>15</v>
      </c>
      <c r="Q42" s="77" t="s">
        <v>15</v>
      </c>
      <c r="R42" s="77" t="s">
        <v>15</v>
      </c>
      <c r="S42" s="77" t="s">
        <v>15</v>
      </c>
      <c r="T42" s="77" t="s">
        <v>15</v>
      </c>
      <c r="U42" s="77" t="s">
        <v>15</v>
      </c>
      <c r="V42" s="78" t="s">
        <v>41</v>
      </c>
      <c r="W42" s="77" t="s">
        <v>15</v>
      </c>
      <c r="X42" s="77" t="s">
        <v>15</v>
      </c>
      <c r="Y42" s="77" t="s">
        <v>15</v>
      </c>
      <c r="Z42" s="77" t="s">
        <v>15</v>
      </c>
    </row>
    <row r="43" spans="1:26">
      <c r="A43" s="72">
        <v>45</v>
      </c>
      <c r="B43" s="73" t="s">
        <v>234</v>
      </c>
      <c r="C43" s="74" t="s">
        <v>141</v>
      </c>
      <c r="D43" s="74" t="s">
        <v>141</v>
      </c>
      <c r="E43" s="74" t="s">
        <v>141</v>
      </c>
      <c r="F43" s="74" t="s">
        <v>134</v>
      </c>
      <c r="G43" s="74" t="s">
        <v>141</v>
      </c>
      <c r="H43" s="74" t="s">
        <v>141</v>
      </c>
      <c r="I43" s="75" t="s">
        <v>235</v>
      </c>
      <c r="J43" s="75" t="s">
        <v>236</v>
      </c>
      <c r="K43" s="75" t="s">
        <v>232</v>
      </c>
      <c r="L43" s="74" t="s">
        <v>233</v>
      </c>
      <c r="M43" s="73" t="s">
        <v>137</v>
      </c>
      <c r="N43" s="73"/>
      <c r="O43" s="77" t="s">
        <v>15</v>
      </c>
      <c r="P43" s="77" t="s">
        <v>15</v>
      </c>
      <c r="Q43" s="77" t="s">
        <v>15</v>
      </c>
      <c r="R43" s="77" t="s">
        <v>15</v>
      </c>
      <c r="S43" s="77" t="s">
        <v>15</v>
      </c>
      <c r="T43" s="77" t="s">
        <v>15</v>
      </c>
      <c r="U43" s="78" t="s">
        <v>41</v>
      </c>
      <c r="V43" s="77" t="s">
        <v>15</v>
      </c>
      <c r="W43" s="77" t="s">
        <v>15</v>
      </c>
      <c r="X43" s="77" t="s">
        <v>15</v>
      </c>
      <c r="Y43" s="77" t="s">
        <v>15</v>
      </c>
      <c r="Z43" s="77" t="s">
        <v>15</v>
      </c>
    </row>
    <row r="44" spans="1:26">
      <c r="A44" s="72">
        <v>42</v>
      </c>
      <c r="B44" s="79" t="s">
        <v>237</v>
      </c>
      <c r="C44" s="74" t="s">
        <v>141</v>
      </c>
      <c r="D44" s="74" t="s">
        <v>141</v>
      </c>
      <c r="E44" s="74" t="s">
        <v>141</v>
      </c>
      <c r="F44" s="74" t="s">
        <v>141</v>
      </c>
      <c r="G44" s="74" t="s">
        <v>141</v>
      </c>
      <c r="H44" s="74" t="s">
        <v>134</v>
      </c>
      <c r="I44" s="75" t="s">
        <v>238</v>
      </c>
      <c r="J44" s="75" t="s">
        <v>239</v>
      </c>
      <c r="K44" s="75" t="s">
        <v>232</v>
      </c>
      <c r="L44" s="74" t="s">
        <v>233</v>
      </c>
      <c r="M44" s="73" t="s">
        <v>137</v>
      </c>
      <c r="N44" s="73"/>
      <c r="O44" s="77" t="s">
        <v>15</v>
      </c>
      <c r="P44" s="77" t="s">
        <v>15</v>
      </c>
      <c r="Q44" s="77" t="s">
        <v>15</v>
      </c>
      <c r="R44" s="77" t="s">
        <v>15</v>
      </c>
      <c r="S44" s="77" t="s">
        <v>15</v>
      </c>
      <c r="T44" s="77" t="s">
        <v>15</v>
      </c>
      <c r="U44" s="77" t="s">
        <v>15</v>
      </c>
      <c r="V44" s="77" t="s">
        <v>15</v>
      </c>
      <c r="W44" s="78" t="s">
        <v>41</v>
      </c>
      <c r="X44" s="77" t="s">
        <v>15</v>
      </c>
      <c r="Y44" s="77" t="s">
        <v>15</v>
      </c>
      <c r="Z44" s="77" t="s">
        <v>15</v>
      </c>
    </row>
    <row r="45" spans="1:26">
      <c r="A45" s="72">
        <v>43</v>
      </c>
      <c r="B45" s="73" t="s">
        <v>240</v>
      </c>
      <c r="C45" s="74" t="s">
        <v>141</v>
      </c>
      <c r="D45" s="74" t="s">
        <v>141</v>
      </c>
      <c r="E45" s="74" t="s">
        <v>141</v>
      </c>
      <c r="F45" s="74" t="s">
        <v>141</v>
      </c>
      <c r="G45" s="74" t="s">
        <v>141</v>
      </c>
      <c r="H45" s="74" t="s">
        <v>134</v>
      </c>
      <c r="I45" s="75" t="s">
        <v>241</v>
      </c>
      <c r="J45" s="75" t="s">
        <v>242</v>
      </c>
      <c r="K45" s="75" t="s">
        <v>232</v>
      </c>
      <c r="L45" s="74" t="s">
        <v>233</v>
      </c>
      <c r="M45" s="73" t="s">
        <v>137</v>
      </c>
      <c r="N45" s="73"/>
      <c r="O45" s="77" t="s">
        <v>15</v>
      </c>
      <c r="P45" s="77" t="s">
        <v>15</v>
      </c>
      <c r="Q45" s="77" t="s">
        <v>15</v>
      </c>
      <c r="R45" s="77" t="s">
        <v>15</v>
      </c>
      <c r="S45" s="77" t="s">
        <v>15</v>
      </c>
      <c r="T45" s="77" t="s">
        <v>15</v>
      </c>
      <c r="U45" s="77" t="s">
        <v>15</v>
      </c>
      <c r="V45" s="77" t="s">
        <v>15</v>
      </c>
      <c r="W45" s="78" t="s">
        <v>41</v>
      </c>
      <c r="X45" s="77" t="s">
        <v>15</v>
      </c>
      <c r="Y45" s="77" t="s">
        <v>15</v>
      </c>
      <c r="Z45" s="77" t="s">
        <v>15</v>
      </c>
    </row>
    <row r="46" spans="1:26">
      <c r="A46" s="72">
        <v>44</v>
      </c>
      <c r="B46" s="73" t="s">
        <v>243</v>
      </c>
      <c r="C46" s="74" t="s">
        <v>141</v>
      </c>
      <c r="D46" s="74" t="s">
        <v>141</v>
      </c>
      <c r="E46" s="74" t="s">
        <v>141</v>
      </c>
      <c r="F46" s="74" t="s">
        <v>141</v>
      </c>
      <c r="G46" s="74" t="s">
        <v>141</v>
      </c>
      <c r="H46" s="74" t="s">
        <v>134</v>
      </c>
      <c r="I46" s="75" t="s">
        <v>244</v>
      </c>
      <c r="J46" s="75" t="s">
        <v>245</v>
      </c>
      <c r="K46" s="75" t="s">
        <v>232</v>
      </c>
      <c r="L46" s="74" t="s">
        <v>233</v>
      </c>
      <c r="M46" s="73" t="s">
        <v>137</v>
      </c>
      <c r="N46" s="73"/>
      <c r="O46" s="77" t="s">
        <v>15</v>
      </c>
      <c r="P46" s="77" t="s">
        <v>15</v>
      </c>
      <c r="Q46" s="77" t="s">
        <v>15</v>
      </c>
      <c r="R46" s="77" t="s">
        <v>15</v>
      </c>
      <c r="S46" s="77" t="s">
        <v>15</v>
      </c>
      <c r="T46" s="77" t="s">
        <v>15</v>
      </c>
      <c r="U46" s="77" t="s">
        <v>15</v>
      </c>
      <c r="V46" s="77" t="s">
        <v>15</v>
      </c>
      <c r="W46" s="78" t="s">
        <v>41</v>
      </c>
      <c r="X46" s="77" t="s">
        <v>15</v>
      </c>
      <c r="Y46" s="77" t="s">
        <v>15</v>
      </c>
      <c r="Z46" s="77" t="s">
        <v>15</v>
      </c>
    </row>
    <row r="47" spans="1:26">
      <c r="A47" s="72">
        <v>46</v>
      </c>
      <c r="B47" s="73" t="s">
        <v>246</v>
      </c>
      <c r="C47" s="74" t="s">
        <v>141</v>
      </c>
      <c r="D47" s="74" t="s">
        <v>141</v>
      </c>
      <c r="E47" s="74" t="s">
        <v>141</v>
      </c>
      <c r="F47" s="74" t="s">
        <v>141</v>
      </c>
      <c r="G47" s="74" t="s">
        <v>134</v>
      </c>
      <c r="H47" s="74" t="s">
        <v>141</v>
      </c>
      <c r="I47" s="75" t="s">
        <v>247</v>
      </c>
      <c r="J47" s="75" t="s">
        <v>248</v>
      </c>
      <c r="K47" s="75" t="s">
        <v>232</v>
      </c>
      <c r="L47" s="74" t="s">
        <v>233</v>
      </c>
      <c r="M47" s="73" t="s">
        <v>137</v>
      </c>
      <c r="N47" s="73"/>
      <c r="O47" s="77" t="s">
        <v>15</v>
      </c>
      <c r="P47" s="77" t="s">
        <v>15</v>
      </c>
      <c r="Q47" s="77" t="s">
        <v>15</v>
      </c>
      <c r="R47" s="77" t="s">
        <v>15</v>
      </c>
      <c r="S47" s="77" t="s">
        <v>15</v>
      </c>
      <c r="T47" s="77" t="s">
        <v>15</v>
      </c>
      <c r="U47" s="77" t="s">
        <v>15</v>
      </c>
      <c r="V47" s="78" t="s">
        <v>41</v>
      </c>
      <c r="W47" s="77" t="s">
        <v>15</v>
      </c>
      <c r="X47" s="77" t="s">
        <v>15</v>
      </c>
      <c r="Y47" s="77" t="s">
        <v>15</v>
      </c>
      <c r="Z47" s="77" t="s">
        <v>15</v>
      </c>
    </row>
    <row r="48" spans="1:26">
      <c r="A48" s="72">
        <v>58</v>
      </c>
      <c r="B48" s="73" t="s">
        <v>249</v>
      </c>
      <c r="C48" s="74" t="s">
        <v>141</v>
      </c>
      <c r="D48" s="74" t="s">
        <v>134</v>
      </c>
      <c r="E48" s="74" t="s">
        <v>141</v>
      </c>
      <c r="F48" s="74" t="s">
        <v>141</v>
      </c>
      <c r="G48" s="74" t="s">
        <v>141</v>
      </c>
      <c r="H48" s="74" t="s">
        <v>141</v>
      </c>
      <c r="I48" s="75" t="s">
        <v>250</v>
      </c>
      <c r="J48" s="75" t="s">
        <v>251</v>
      </c>
      <c r="K48" s="75" t="s">
        <v>232</v>
      </c>
      <c r="L48" s="74" t="s">
        <v>233</v>
      </c>
      <c r="M48" s="73" t="s">
        <v>137</v>
      </c>
      <c r="N48" s="73"/>
      <c r="O48" s="77" t="s">
        <v>15</v>
      </c>
      <c r="P48" s="77" t="s">
        <v>15</v>
      </c>
      <c r="Q48" s="77" t="s">
        <v>15</v>
      </c>
      <c r="R48" s="77" t="s">
        <v>15</v>
      </c>
      <c r="S48" s="77" t="s">
        <v>15</v>
      </c>
      <c r="T48" s="77" t="s">
        <v>15</v>
      </c>
      <c r="U48" s="77" t="s">
        <v>15</v>
      </c>
      <c r="V48" s="77" t="s">
        <v>15</v>
      </c>
      <c r="W48" s="77" t="s">
        <v>15</v>
      </c>
      <c r="X48" s="77" t="s">
        <v>15</v>
      </c>
      <c r="Y48" s="78" t="s">
        <v>41</v>
      </c>
      <c r="Z48" s="77" t="s">
        <v>15</v>
      </c>
    </row>
    <row r="49" spans="1:26">
      <c r="A49" s="72">
        <v>57</v>
      </c>
      <c r="B49" s="73" t="s">
        <v>252</v>
      </c>
      <c r="C49" s="74" t="s">
        <v>134</v>
      </c>
      <c r="D49" s="74" t="s">
        <v>141</v>
      </c>
      <c r="E49" s="74" t="s">
        <v>141</v>
      </c>
      <c r="F49" s="74" t="s">
        <v>141</v>
      </c>
      <c r="G49" s="74" t="s">
        <v>141</v>
      </c>
      <c r="H49" s="74" t="s">
        <v>141</v>
      </c>
      <c r="I49" s="75" t="s">
        <v>253</v>
      </c>
      <c r="J49" s="75" t="s">
        <v>254</v>
      </c>
      <c r="K49" s="75" t="s">
        <v>232</v>
      </c>
      <c r="L49" s="74" t="s">
        <v>233</v>
      </c>
      <c r="M49" s="73" t="s">
        <v>137</v>
      </c>
      <c r="N49" s="73"/>
      <c r="O49" s="77" t="s">
        <v>15</v>
      </c>
      <c r="P49" s="77" t="s">
        <v>15</v>
      </c>
      <c r="Q49" s="77" t="s">
        <v>15</v>
      </c>
      <c r="R49" s="77" t="s">
        <v>15</v>
      </c>
      <c r="S49" s="77" t="s">
        <v>15</v>
      </c>
      <c r="T49" s="77" t="s">
        <v>15</v>
      </c>
      <c r="U49" s="77" t="s">
        <v>15</v>
      </c>
      <c r="V49" s="77" t="s">
        <v>15</v>
      </c>
      <c r="W49" s="77" t="s">
        <v>15</v>
      </c>
      <c r="X49" s="77" t="s">
        <v>15</v>
      </c>
      <c r="Y49" s="77" t="s">
        <v>15</v>
      </c>
      <c r="Z49" s="78" t="s">
        <v>41</v>
      </c>
    </row>
    <row r="50" spans="1:26">
      <c r="A50" s="72">
        <v>56</v>
      </c>
      <c r="B50" s="73" t="s">
        <v>255</v>
      </c>
      <c r="C50" s="74" t="s">
        <v>141</v>
      </c>
      <c r="D50" s="74" t="s">
        <v>141</v>
      </c>
      <c r="E50" s="74" t="s">
        <v>134</v>
      </c>
      <c r="F50" s="74" t="s">
        <v>141</v>
      </c>
      <c r="G50" s="74" t="s">
        <v>141</v>
      </c>
      <c r="H50" s="74" t="s">
        <v>141</v>
      </c>
      <c r="I50" s="75" t="s">
        <v>256</v>
      </c>
      <c r="J50" s="75" t="s">
        <v>257</v>
      </c>
      <c r="K50" s="75" t="s">
        <v>232</v>
      </c>
      <c r="L50" s="74" t="s">
        <v>233</v>
      </c>
      <c r="M50" s="73" t="s">
        <v>137</v>
      </c>
      <c r="N50" s="73"/>
      <c r="O50" s="77" t="s">
        <v>15</v>
      </c>
      <c r="P50" s="77" t="s">
        <v>15</v>
      </c>
      <c r="Q50" s="77" t="s">
        <v>15</v>
      </c>
      <c r="R50" s="77" t="s">
        <v>15</v>
      </c>
      <c r="S50" s="77" t="s">
        <v>15</v>
      </c>
      <c r="T50" s="77" t="s">
        <v>15</v>
      </c>
      <c r="U50" s="77" t="s">
        <v>15</v>
      </c>
      <c r="V50" s="77" t="s">
        <v>15</v>
      </c>
      <c r="W50" s="77" t="s">
        <v>15</v>
      </c>
      <c r="X50" s="78" t="s">
        <v>41</v>
      </c>
      <c r="Y50" s="77" t="s">
        <v>15</v>
      </c>
      <c r="Z50" s="77" t="s">
        <v>15</v>
      </c>
    </row>
    <row r="51" spans="1:26">
      <c r="A51" s="72">
        <v>51</v>
      </c>
      <c r="B51" s="73" t="s">
        <v>258</v>
      </c>
      <c r="C51" s="74" t="s">
        <v>141</v>
      </c>
      <c r="D51" s="74" t="s">
        <v>141</v>
      </c>
      <c r="E51" s="74" t="s">
        <v>141</v>
      </c>
      <c r="F51" s="74" t="s">
        <v>141</v>
      </c>
      <c r="G51" s="74" t="s">
        <v>134</v>
      </c>
      <c r="H51" s="74" t="s">
        <v>141</v>
      </c>
      <c r="I51" s="75" t="s">
        <v>259</v>
      </c>
      <c r="J51" s="75" t="s">
        <v>260</v>
      </c>
      <c r="K51" s="75" t="s">
        <v>261</v>
      </c>
      <c r="L51" s="74" t="s">
        <v>262</v>
      </c>
      <c r="M51" s="73" t="s">
        <v>137</v>
      </c>
      <c r="N51" s="73"/>
      <c r="O51" s="77" t="s">
        <v>15</v>
      </c>
      <c r="P51" s="77" t="s">
        <v>15</v>
      </c>
      <c r="Q51" s="77" t="s">
        <v>15</v>
      </c>
      <c r="R51" s="77" t="s">
        <v>15</v>
      </c>
      <c r="S51" s="77" t="s">
        <v>15</v>
      </c>
      <c r="T51" s="77" t="s">
        <v>15</v>
      </c>
      <c r="U51" s="77" t="s">
        <v>15</v>
      </c>
      <c r="V51" s="78" t="s">
        <v>41</v>
      </c>
      <c r="W51" s="77" t="s">
        <v>15</v>
      </c>
      <c r="X51" s="77" t="s">
        <v>15</v>
      </c>
      <c r="Y51" s="77" t="s">
        <v>15</v>
      </c>
      <c r="Z51" s="77" t="s">
        <v>15</v>
      </c>
    </row>
    <row r="52" spans="1:26">
      <c r="A52" s="72">
        <v>50</v>
      </c>
      <c r="B52" s="73" t="s">
        <v>263</v>
      </c>
      <c r="C52" s="74" t="s">
        <v>141</v>
      </c>
      <c r="D52" s="74" t="s">
        <v>141</v>
      </c>
      <c r="E52" s="74" t="s">
        <v>141</v>
      </c>
      <c r="F52" s="74" t="s">
        <v>134</v>
      </c>
      <c r="G52" s="74" t="s">
        <v>141</v>
      </c>
      <c r="H52" s="74" t="s">
        <v>141</v>
      </c>
      <c r="I52" s="75" t="s">
        <v>264</v>
      </c>
      <c r="J52" s="75" t="s">
        <v>265</v>
      </c>
      <c r="K52" s="75" t="s">
        <v>261</v>
      </c>
      <c r="L52" s="74" t="s">
        <v>262</v>
      </c>
      <c r="M52" s="73" t="s">
        <v>137</v>
      </c>
      <c r="N52" s="73"/>
      <c r="O52" s="77" t="s">
        <v>15</v>
      </c>
      <c r="P52" s="77" t="s">
        <v>15</v>
      </c>
      <c r="Q52" s="77" t="s">
        <v>15</v>
      </c>
      <c r="R52" s="77" t="s">
        <v>15</v>
      </c>
      <c r="S52" s="77" t="s">
        <v>15</v>
      </c>
      <c r="T52" s="77" t="s">
        <v>15</v>
      </c>
      <c r="U52" s="78" t="s">
        <v>41</v>
      </c>
      <c r="V52" s="77" t="s">
        <v>15</v>
      </c>
      <c r="W52" s="77" t="s">
        <v>15</v>
      </c>
      <c r="X52" s="77" t="s">
        <v>15</v>
      </c>
      <c r="Y52" s="77" t="s">
        <v>15</v>
      </c>
      <c r="Z52" s="77" t="s">
        <v>15</v>
      </c>
    </row>
    <row r="53" spans="1:26">
      <c r="A53" s="72">
        <v>47</v>
      </c>
      <c r="B53" s="73" t="s">
        <v>266</v>
      </c>
      <c r="C53" s="74" t="s">
        <v>141</v>
      </c>
      <c r="D53" s="74" t="s">
        <v>141</v>
      </c>
      <c r="E53" s="74" t="s">
        <v>141</v>
      </c>
      <c r="F53" s="74" t="s">
        <v>141</v>
      </c>
      <c r="G53" s="74" t="s">
        <v>141</v>
      </c>
      <c r="H53" s="74" t="s">
        <v>134</v>
      </c>
      <c r="I53" s="75" t="s">
        <v>267</v>
      </c>
      <c r="J53" s="75" t="s">
        <v>268</v>
      </c>
      <c r="K53" s="75" t="s">
        <v>261</v>
      </c>
      <c r="L53" s="74" t="s">
        <v>262</v>
      </c>
      <c r="M53" s="73" t="s">
        <v>137</v>
      </c>
      <c r="N53" s="73"/>
      <c r="O53" s="77" t="s">
        <v>15</v>
      </c>
      <c r="P53" s="77" t="s">
        <v>15</v>
      </c>
      <c r="Q53" s="77" t="s">
        <v>15</v>
      </c>
      <c r="R53" s="77" t="s">
        <v>15</v>
      </c>
      <c r="S53" s="77" t="s">
        <v>15</v>
      </c>
      <c r="T53" s="77" t="s">
        <v>15</v>
      </c>
      <c r="U53" s="77" t="s">
        <v>15</v>
      </c>
      <c r="V53" s="77" t="s">
        <v>15</v>
      </c>
      <c r="W53" s="78" t="s">
        <v>41</v>
      </c>
      <c r="X53" s="77" t="s">
        <v>15</v>
      </c>
      <c r="Y53" s="77" t="s">
        <v>15</v>
      </c>
      <c r="Z53" s="77" t="s">
        <v>15</v>
      </c>
    </row>
    <row r="54" spans="1:26">
      <c r="A54" s="72">
        <v>48</v>
      </c>
      <c r="B54" s="73" t="s">
        <v>269</v>
      </c>
      <c r="C54" s="74" t="s">
        <v>141</v>
      </c>
      <c r="D54" s="74" t="s">
        <v>141</v>
      </c>
      <c r="E54" s="74" t="s">
        <v>141</v>
      </c>
      <c r="F54" s="74" t="s">
        <v>141</v>
      </c>
      <c r="G54" s="74" t="s">
        <v>141</v>
      </c>
      <c r="H54" s="74" t="s">
        <v>134</v>
      </c>
      <c r="I54" s="75" t="s">
        <v>270</v>
      </c>
      <c r="J54" s="75" t="s">
        <v>271</v>
      </c>
      <c r="K54" s="75" t="s">
        <v>261</v>
      </c>
      <c r="L54" s="74" t="s">
        <v>262</v>
      </c>
      <c r="M54" s="73" t="s">
        <v>137</v>
      </c>
      <c r="N54" s="73"/>
      <c r="O54" s="77" t="s">
        <v>15</v>
      </c>
      <c r="P54" s="77" t="s">
        <v>15</v>
      </c>
      <c r="Q54" s="77" t="s">
        <v>15</v>
      </c>
      <c r="R54" s="77" t="s">
        <v>15</v>
      </c>
      <c r="S54" s="77" t="s">
        <v>15</v>
      </c>
      <c r="T54" s="77" t="s">
        <v>15</v>
      </c>
      <c r="U54" s="77" t="s">
        <v>15</v>
      </c>
      <c r="V54" s="77" t="s">
        <v>15</v>
      </c>
      <c r="W54" s="78" t="s">
        <v>41</v>
      </c>
      <c r="X54" s="77" t="s">
        <v>15</v>
      </c>
      <c r="Y54" s="77" t="s">
        <v>15</v>
      </c>
      <c r="Z54" s="77" t="s">
        <v>15</v>
      </c>
    </row>
    <row r="55" spans="1:26">
      <c r="A55" s="72">
        <v>49</v>
      </c>
      <c r="B55" s="73" t="s">
        <v>272</v>
      </c>
      <c r="C55" s="74" t="s">
        <v>141</v>
      </c>
      <c r="D55" s="74" t="s">
        <v>141</v>
      </c>
      <c r="E55" s="74" t="s">
        <v>141</v>
      </c>
      <c r="F55" s="74" t="s">
        <v>141</v>
      </c>
      <c r="G55" s="74" t="s">
        <v>141</v>
      </c>
      <c r="H55" s="74" t="s">
        <v>134</v>
      </c>
      <c r="I55" s="75" t="s">
        <v>273</v>
      </c>
      <c r="J55" s="75" t="s">
        <v>274</v>
      </c>
      <c r="K55" s="75" t="s">
        <v>261</v>
      </c>
      <c r="L55" s="74" t="s">
        <v>262</v>
      </c>
      <c r="M55" s="73" t="s">
        <v>137</v>
      </c>
      <c r="N55" s="73"/>
      <c r="O55" s="77" t="s">
        <v>15</v>
      </c>
      <c r="P55" s="77" t="s">
        <v>15</v>
      </c>
      <c r="Q55" s="77" t="s">
        <v>15</v>
      </c>
      <c r="R55" s="77" t="s">
        <v>15</v>
      </c>
      <c r="S55" s="77" t="s">
        <v>15</v>
      </c>
      <c r="T55" s="77" t="s">
        <v>15</v>
      </c>
      <c r="U55" s="77" t="s">
        <v>15</v>
      </c>
      <c r="V55" s="77" t="s">
        <v>15</v>
      </c>
      <c r="W55" s="78" t="s">
        <v>41</v>
      </c>
      <c r="X55" s="77" t="s">
        <v>15</v>
      </c>
      <c r="Y55" s="77" t="s">
        <v>15</v>
      </c>
      <c r="Z55" s="77" t="s">
        <v>15</v>
      </c>
    </row>
    <row r="56" spans="1:26">
      <c r="A56" s="72">
        <v>52</v>
      </c>
      <c r="B56" s="73" t="s">
        <v>275</v>
      </c>
      <c r="C56" s="74" t="s">
        <v>141</v>
      </c>
      <c r="D56" s="74" t="s">
        <v>141</v>
      </c>
      <c r="E56" s="74" t="s">
        <v>141</v>
      </c>
      <c r="F56" s="74" t="s">
        <v>141</v>
      </c>
      <c r="G56" s="74" t="s">
        <v>134</v>
      </c>
      <c r="H56" s="74" t="s">
        <v>141</v>
      </c>
      <c r="I56" s="75" t="s">
        <v>276</v>
      </c>
      <c r="J56" s="75" t="s">
        <v>277</v>
      </c>
      <c r="K56" s="75" t="s">
        <v>261</v>
      </c>
      <c r="L56" s="74" t="s">
        <v>262</v>
      </c>
      <c r="M56" s="73" t="s">
        <v>137</v>
      </c>
      <c r="N56" s="73"/>
      <c r="O56" s="77" t="s">
        <v>15</v>
      </c>
      <c r="P56" s="77" t="s">
        <v>15</v>
      </c>
      <c r="Q56" s="77" t="s">
        <v>15</v>
      </c>
      <c r="R56" s="77" t="s">
        <v>15</v>
      </c>
      <c r="S56" s="77" t="s">
        <v>15</v>
      </c>
      <c r="T56" s="77" t="s">
        <v>15</v>
      </c>
      <c r="U56" s="77" t="s">
        <v>15</v>
      </c>
      <c r="V56" s="78" t="s">
        <v>41</v>
      </c>
      <c r="W56" s="77" t="s">
        <v>15</v>
      </c>
      <c r="X56" s="77" t="s">
        <v>15</v>
      </c>
      <c r="Y56" s="77" t="s">
        <v>15</v>
      </c>
      <c r="Z56" s="77" t="s">
        <v>15</v>
      </c>
    </row>
    <row r="57" spans="1:26">
      <c r="A57" s="72">
        <v>55</v>
      </c>
      <c r="B57" s="73" t="s">
        <v>278</v>
      </c>
      <c r="C57" s="74" t="s">
        <v>141</v>
      </c>
      <c r="D57" s="74" t="s">
        <v>134</v>
      </c>
      <c r="E57" s="74" t="s">
        <v>141</v>
      </c>
      <c r="F57" s="74" t="s">
        <v>141</v>
      </c>
      <c r="G57" s="74" t="s">
        <v>141</v>
      </c>
      <c r="H57" s="74" t="s">
        <v>141</v>
      </c>
      <c r="I57" s="75" t="s">
        <v>279</v>
      </c>
      <c r="J57" s="75" t="s">
        <v>280</v>
      </c>
      <c r="K57" s="75" t="s">
        <v>261</v>
      </c>
      <c r="L57" s="74" t="s">
        <v>262</v>
      </c>
      <c r="M57" s="73" t="s">
        <v>137</v>
      </c>
      <c r="N57" s="73"/>
      <c r="O57" s="77" t="s">
        <v>15</v>
      </c>
      <c r="P57" s="77" t="s">
        <v>15</v>
      </c>
      <c r="Q57" s="77" t="s">
        <v>15</v>
      </c>
      <c r="R57" s="77" t="s">
        <v>15</v>
      </c>
      <c r="S57" s="77" t="s">
        <v>15</v>
      </c>
      <c r="T57" s="77" t="s">
        <v>15</v>
      </c>
      <c r="U57" s="77" t="s">
        <v>15</v>
      </c>
      <c r="V57" s="77" t="s">
        <v>15</v>
      </c>
      <c r="W57" s="77" t="s">
        <v>15</v>
      </c>
      <c r="X57" s="77" t="s">
        <v>15</v>
      </c>
      <c r="Y57" s="78" t="s">
        <v>41</v>
      </c>
      <c r="Z57" s="77" t="s">
        <v>15</v>
      </c>
    </row>
    <row r="58" spans="1:26">
      <c r="A58" s="72">
        <v>54</v>
      </c>
      <c r="B58" s="73" t="s">
        <v>281</v>
      </c>
      <c r="C58" s="74" t="s">
        <v>134</v>
      </c>
      <c r="D58" s="74" t="s">
        <v>141</v>
      </c>
      <c r="E58" s="74" t="s">
        <v>141</v>
      </c>
      <c r="F58" s="74" t="s">
        <v>141</v>
      </c>
      <c r="G58" s="74" t="s">
        <v>141</v>
      </c>
      <c r="H58" s="74" t="s">
        <v>141</v>
      </c>
      <c r="I58" s="75" t="s">
        <v>282</v>
      </c>
      <c r="J58" s="75" t="s">
        <v>283</v>
      </c>
      <c r="K58" s="75" t="s">
        <v>261</v>
      </c>
      <c r="L58" s="74" t="s">
        <v>262</v>
      </c>
      <c r="M58" s="73" t="s">
        <v>137</v>
      </c>
      <c r="N58" s="73"/>
      <c r="O58" s="77" t="s">
        <v>15</v>
      </c>
      <c r="P58" s="77" t="s">
        <v>15</v>
      </c>
      <c r="Q58" s="77" t="s">
        <v>15</v>
      </c>
      <c r="R58" s="77" t="s">
        <v>15</v>
      </c>
      <c r="S58" s="77" t="s">
        <v>15</v>
      </c>
      <c r="T58" s="77" t="s">
        <v>15</v>
      </c>
      <c r="U58" s="77" t="s">
        <v>15</v>
      </c>
      <c r="V58" s="77" t="s">
        <v>15</v>
      </c>
      <c r="W58" s="77" t="s">
        <v>15</v>
      </c>
      <c r="X58" s="77" t="s">
        <v>15</v>
      </c>
      <c r="Y58" s="77" t="s">
        <v>15</v>
      </c>
      <c r="Z58" s="78" t="s">
        <v>41</v>
      </c>
    </row>
    <row r="59" spans="1:26">
      <c r="A59" s="72">
        <v>53</v>
      </c>
      <c r="B59" s="73" t="s">
        <v>284</v>
      </c>
      <c r="C59" s="74" t="s">
        <v>141</v>
      </c>
      <c r="D59" s="74" t="s">
        <v>141</v>
      </c>
      <c r="E59" s="74" t="s">
        <v>134</v>
      </c>
      <c r="F59" s="74" t="s">
        <v>141</v>
      </c>
      <c r="G59" s="74" t="s">
        <v>141</v>
      </c>
      <c r="H59" s="74" t="s">
        <v>141</v>
      </c>
      <c r="I59" s="75" t="s">
        <v>285</v>
      </c>
      <c r="J59" s="75" t="s">
        <v>286</v>
      </c>
      <c r="K59" s="75" t="s">
        <v>261</v>
      </c>
      <c r="L59" s="74" t="s">
        <v>262</v>
      </c>
      <c r="M59" s="73" t="s">
        <v>137</v>
      </c>
      <c r="N59" s="73"/>
      <c r="O59" s="77" t="s">
        <v>15</v>
      </c>
      <c r="P59" s="77" t="s">
        <v>15</v>
      </c>
      <c r="Q59" s="77" t="s">
        <v>15</v>
      </c>
      <c r="R59" s="77" t="s">
        <v>15</v>
      </c>
      <c r="S59" s="77" t="s">
        <v>15</v>
      </c>
      <c r="T59" s="77" t="s">
        <v>15</v>
      </c>
      <c r="U59" s="77" t="s">
        <v>15</v>
      </c>
      <c r="V59" s="77" t="s">
        <v>15</v>
      </c>
      <c r="W59" s="77" t="s">
        <v>15</v>
      </c>
      <c r="X59" s="78" t="s">
        <v>41</v>
      </c>
      <c r="Y59" s="77" t="s">
        <v>15</v>
      </c>
      <c r="Z59" s="77" t="s">
        <v>15</v>
      </c>
    </row>
    <row r="60" spans="1:26">
      <c r="A60" s="72">
        <v>59</v>
      </c>
      <c r="B60" s="73" t="s">
        <v>287</v>
      </c>
      <c r="C60" s="74" t="s">
        <v>141</v>
      </c>
      <c r="D60" s="74" t="s">
        <v>141</v>
      </c>
      <c r="E60" s="74" t="s">
        <v>134</v>
      </c>
      <c r="F60" s="74" t="s">
        <v>141</v>
      </c>
      <c r="G60" s="74" t="s">
        <v>141</v>
      </c>
      <c r="H60" s="74" t="s">
        <v>141</v>
      </c>
      <c r="I60" s="75" t="s">
        <v>288</v>
      </c>
      <c r="J60" s="75" t="s">
        <v>288</v>
      </c>
      <c r="K60" s="75" t="s">
        <v>144</v>
      </c>
      <c r="L60" s="74" t="s">
        <v>145</v>
      </c>
      <c r="M60" s="73" t="s">
        <v>137</v>
      </c>
      <c r="N60" s="73"/>
      <c r="O60" s="77" t="s">
        <v>15</v>
      </c>
      <c r="P60" s="77" t="s">
        <v>15</v>
      </c>
      <c r="Q60" s="77" t="s">
        <v>15</v>
      </c>
      <c r="R60" s="77" t="s">
        <v>15</v>
      </c>
      <c r="S60" s="77" t="s">
        <v>15</v>
      </c>
      <c r="T60" s="77" t="s">
        <v>15</v>
      </c>
      <c r="U60" s="77" t="s">
        <v>15</v>
      </c>
      <c r="V60" s="77" t="s">
        <v>15</v>
      </c>
      <c r="W60" s="77" t="s">
        <v>15</v>
      </c>
      <c r="X60" s="78" t="s">
        <v>41</v>
      </c>
      <c r="Y60" s="77" t="s">
        <v>15</v>
      </c>
      <c r="Z60" s="77" t="s">
        <v>15</v>
      </c>
    </row>
    <row r="61" spans="1:26">
      <c r="A61" s="72">
        <v>60</v>
      </c>
      <c r="B61" s="80" t="s">
        <v>289</v>
      </c>
      <c r="C61" s="74" t="s">
        <v>134</v>
      </c>
      <c r="D61" s="74" t="s">
        <v>141</v>
      </c>
      <c r="E61" s="74" t="s">
        <v>141</v>
      </c>
      <c r="F61" s="74" t="s">
        <v>141</v>
      </c>
      <c r="G61" s="74" t="s">
        <v>141</v>
      </c>
      <c r="H61" s="74" t="s">
        <v>141</v>
      </c>
      <c r="I61" s="75" t="s">
        <v>290</v>
      </c>
      <c r="J61" s="75" t="s">
        <v>290</v>
      </c>
      <c r="K61" s="75" t="s">
        <v>144</v>
      </c>
      <c r="L61" s="74" t="s">
        <v>291</v>
      </c>
      <c r="M61" s="73" t="s">
        <v>137</v>
      </c>
      <c r="N61" s="73"/>
      <c r="O61" s="77" t="s">
        <v>15</v>
      </c>
      <c r="P61" s="77" t="s">
        <v>15</v>
      </c>
      <c r="Q61" s="77" t="s">
        <v>15</v>
      </c>
      <c r="R61" s="77" t="s">
        <v>15</v>
      </c>
      <c r="S61" s="77" t="s">
        <v>15</v>
      </c>
      <c r="T61" s="77" t="s">
        <v>15</v>
      </c>
      <c r="U61" s="77" t="s">
        <v>15</v>
      </c>
      <c r="V61" s="77" t="s">
        <v>15</v>
      </c>
      <c r="W61" s="77" t="s">
        <v>15</v>
      </c>
      <c r="X61" s="77" t="s">
        <v>15</v>
      </c>
      <c r="Y61" s="77" t="s">
        <v>15</v>
      </c>
      <c r="Z61" s="78" t="s">
        <v>41</v>
      </c>
    </row>
    <row r="62" spans="1:26">
      <c r="A62" s="72">
        <v>61</v>
      </c>
      <c r="B62" s="81" t="s">
        <v>292</v>
      </c>
      <c r="C62" s="74" t="s">
        <v>141</v>
      </c>
      <c r="D62" s="74" t="s">
        <v>141</v>
      </c>
      <c r="E62" s="74" t="s">
        <v>141</v>
      </c>
      <c r="F62" s="74" t="s">
        <v>141</v>
      </c>
      <c r="G62" s="74" t="s">
        <v>134</v>
      </c>
      <c r="H62" s="74" t="s">
        <v>141</v>
      </c>
      <c r="I62" s="75" t="s">
        <v>293</v>
      </c>
      <c r="J62" s="75" t="s">
        <v>293</v>
      </c>
      <c r="K62" s="75" t="s">
        <v>191</v>
      </c>
      <c r="L62" s="82" t="s">
        <v>294</v>
      </c>
      <c r="M62" s="73" t="s">
        <v>137</v>
      </c>
      <c r="N62" s="64"/>
      <c r="O62" s="77" t="s">
        <v>15</v>
      </c>
      <c r="P62" s="77" t="s">
        <v>15</v>
      </c>
      <c r="Q62" s="77" t="s">
        <v>15</v>
      </c>
      <c r="R62" s="77" t="s">
        <v>15</v>
      </c>
      <c r="S62" s="77" t="s">
        <v>15</v>
      </c>
      <c r="T62" s="77" t="s">
        <v>15</v>
      </c>
      <c r="U62" s="77" t="s">
        <v>15</v>
      </c>
      <c r="V62" s="78" t="s">
        <v>41</v>
      </c>
      <c r="W62" s="77" t="s">
        <v>15</v>
      </c>
      <c r="X62" s="77" t="s">
        <v>15</v>
      </c>
      <c r="Y62" s="77" t="s">
        <v>15</v>
      </c>
      <c r="Z62" s="77" t="s">
        <v>15</v>
      </c>
    </row>
    <row r="63" spans="1:26">
      <c r="A63" s="72">
        <v>62</v>
      </c>
      <c r="B63" s="81" t="s">
        <v>295</v>
      </c>
      <c r="C63" s="74" t="s">
        <v>141</v>
      </c>
      <c r="D63" s="74" t="s">
        <v>141</v>
      </c>
      <c r="E63" s="74" t="s">
        <v>141</v>
      </c>
      <c r="F63" s="74" t="s">
        <v>134</v>
      </c>
      <c r="G63" s="74" t="s">
        <v>141</v>
      </c>
      <c r="H63" s="74" t="s">
        <v>141</v>
      </c>
      <c r="I63" s="75" t="s">
        <v>296</v>
      </c>
      <c r="J63" s="75" t="s">
        <v>296</v>
      </c>
      <c r="K63" s="75" t="s">
        <v>191</v>
      </c>
      <c r="L63" s="82" t="s">
        <v>294</v>
      </c>
      <c r="M63" s="73" t="s">
        <v>137</v>
      </c>
      <c r="N63" s="64"/>
      <c r="O63" s="77" t="s">
        <v>15</v>
      </c>
      <c r="P63" s="77" t="s">
        <v>15</v>
      </c>
      <c r="Q63" s="77" t="s">
        <v>15</v>
      </c>
      <c r="R63" s="77" t="s">
        <v>15</v>
      </c>
      <c r="S63" s="77" t="s">
        <v>15</v>
      </c>
      <c r="T63" s="77" t="s">
        <v>15</v>
      </c>
      <c r="U63" s="78" t="s">
        <v>41</v>
      </c>
      <c r="V63" s="77" t="s">
        <v>15</v>
      </c>
      <c r="W63" s="77" t="s">
        <v>15</v>
      </c>
      <c r="X63" s="77" t="s">
        <v>15</v>
      </c>
      <c r="Y63" s="77" t="s">
        <v>15</v>
      </c>
      <c r="Z63" s="77" t="s">
        <v>15</v>
      </c>
    </row>
    <row r="64" spans="1:26">
      <c r="A64" s="72">
        <v>63</v>
      </c>
      <c r="B64" s="81" t="s">
        <v>297</v>
      </c>
      <c r="C64" s="74" t="s">
        <v>141</v>
      </c>
      <c r="D64" s="74" t="s">
        <v>141</v>
      </c>
      <c r="E64" s="74" t="s">
        <v>141</v>
      </c>
      <c r="F64" s="74" t="s">
        <v>141</v>
      </c>
      <c r="G64" s="74" t="s">
        <v>141</v>
      </c>
      <c r="H64" s="74" t="s">
        <v>134</v>
      </c>
      <c r="I64" s="75" t="s">
        <v>298</v>
      </c>
      <c r="J64" s="75" t="s">
        <v>299</v>
      </c>
      <c r="K64" s="75" t="s">
        <v>300</v>
      </c>
      <c r="L64" s="82" t="s">
        <v>301</v>
      </c>
      <c r="M64" s="73" t="s">
        <v>137</v>
      </c>
      <c r="N64" s="64"/>
      <c r="O64" s="77" t="s">
        <v>15</v>
      </c>
      <c r="P64" s="77" t="s">
        <v>15</v>
      </c>
      <c r="Q64" s="77" t="s">
        <v>15</v>
      </c>
      <c r="R64" s="77" t="s">
        <v>15</v>
      </c>
      <c r="S64" s="77" t="s">
        <v>15</v>
      </c>
      <c r="T64" s="77" t="s">
        <v>15</v>
      </c>
      <c r="U64" s="77" t="s">
        <v>15</v>
      </c>
      <c r="V64" s="77" t="s">
        <v>15</v>
      </c>
      <c r="W64" s="78" t="s">
        <v>41</v>
      </c>
      <c r="X64" s="77" t="s">
        <v>15</v>
      </c>
      <c r="Y64" s="77" t="s">
        <v>15</v>
      </c>
      <c r="Z64" s="77" t="s">
        <v>15</v>
      </c>
    </row>
    <row r="65" spans="1:26">
      <c r="A65" s="72">
        <v>64</v>
      </c>
      <c r="B65" s="81" t="s">
        <v>302</v>
      </c>
      <c r="C65" s="74" t="s">
        <v>141</v>
      </c>
      <c r="D65" s="74" t="s">
        <v>141</v>
      </c>
      <c r="E65" s="74" t="s">
        <v>141</v>
      </c>
      <c r="F65" s="74" t="s">
        <v>141</v>
      </c>
      <c r="G65" s="74" t="s">
        <v>141</v>
      </c>
      <c r="H65" s="74" t="s">
        <v>134</v>
      </c>
      <c r="I65" s="75" t="s">
        <v>303</v>
      </c>
      <c r="J65" s="75" t="s">
        <v>304</v>
      </c>
      <c r="K65" s="75" t="s">
        <v>300</v>
      </c>
      <c r="L65" s="82" t="s">
        <v>301</v>
      </c>
      <c r="M65" s="73" t="s">
        <v>137</v>
      </c>
      <c r="N65" s="64"/>
      <c r="O65" s="77" t="s">
        <v>15</v>
      </c>
      <c r="P65" s="77" t="s">
        <v>15</v>
      </c>
      <c r="Q65" s="77" t="s">
        <v>15</v>
      </c>
      <c r="R65" s="77" t="s">
        <v>15</v>
      </c>
      <c r="S65" s="77" t="s">
        <v>15</v>
      </c>
      <c r="T65" s="77" t="s">
        <v>15</v>
      </c>
      <c r="U65" s="77" t="s">
        <v>15</v>
      </c>
      <c r="V65" s="77" t="s">
        <v>15</v>
      </c>
      <c r="W65" s="78" t="s">
        <v>41</v>
      </c>
      <c r="X65" s="77" t="s">
        <v>15</v>
      </c>
      <c r="Y65" s="77" t="s">
        <v>15</v>
      </c>
      <c r="Z65" s="77" t="s">
        <v>15</v>
      </c>
    </row>
    <row r="66" spans="1:26">
      <c r="A66" s="72">
        <v>65</v>
      </c>
      <c r="B66" s="81" t="s">
        <v>305</v>
      </c>
      <c r="C66" s="74" t="s">
        <v>141</v>
      </c>
      <c r="D66" s="74" t="s">
        <v>141</v>
      </c>
      <c r="E66" s="74" t="s">
        <v>141</v>
      </c>
      <c r="F66" s="74" t="s">
        <v>134</v>
      </c>
      <c r="G66" s="74" t="s">
        <v>141</v>
      </c>
      <c r="H66" s="74" t="s">
        <v>141</v>
      </c>
      <c r="I66" s="75" t="s">
        <v>306</v>
      </c>
      <c r="J66" s="75" t="s">
        <v>307</v>
      </c>
      <c r="K66" s="75" t="s">
        <v>300</v>
      </c>
      <c r="L66" s="82" t="s">
        <v>301</v>
      </c>
      <c r="M66" s="73" t="s">
        <v>137</v>
      </c>
      <c r="N66" s="64"/>
      <c r="O66" s="77" t="s">
        <v>15</v>
      </c>
      <c r="P66" s="77" t="s">
        <v>15</v>
      </c>
      <c r="Q66" s="77" t="s">
        <v>15</v>
      </c>
      <c r="R66" s="77" t="s">
        <v>15</v>
      </c>
      <c r="S66" s="77" t="s">
        <v>15</v>
      </c>
      <c r="T66" s="77" t="s">
        <v>15</v>
      </c>
      <c r="U66" s="78" t="s">
        <v>41</v>
      </c>
      <c r="V66" s="77" t="s">
        <v>15</v>
      </c>
      <c r="W66" s="77" t="s">
        <v>15</v>
      </c>
      <c r="X66" s="77" t="s">
        <v>15</v>
      </c>
      <c r="Y66" s="77" t="s">
        <v>15</v>
      </c>
      <c r="Z66" s="77" t="s">
        <v>15</v>
      </c>
    </row>
    <row r="67" spans="1:26">
      <c r="A67" s="72">
        <v>66</v>
      </c>
      <c r="B67" s="81" t="s">
        <v>308</v>
      </c>
      <c r="C67" s="74" t="s">
        <v>141</v>
      </c>
      <c r="D67" s="74" t="s">
        <v>141</v>
      </c>
      <c r="E67" s="74" t="s">
        <v>141</v>
      </c>
      <c r="F67" s="74" t="s">
        <v>141</v>
      </c>
      <c r="G67" s="74" t="s">
        <v>134</v>
      </c>
      <c r="H67" s="74" t="s">
        <v>141</v>
      </c>
      <c r="I67" s="75" t="s">
        <v>309</v>
      </c>
      <c r="J67" s="75" t="s">
        <v>310</v>
      </c>
      <c r="K67" s="75" t="s">
        <v>300</v>
      </c>
      <c r="L67" s="82" t="s">
        <v>301</v>
      </c>
      <c r="M67" s="73" t="s">
        <v>137</v>
      </c>
      <c r="N67" s="64"/>
      <c r="O67" s="77" t="s">
        <v>15</v>
      </c>
      <c r="P67" s="77" t="s">
        <v>15</v>
      </c>
      <c r="Q67" s="77" t="s">
        <v>15</v>
      </c>
      <c r="R67" s="77" t="s">
        <v>15</v>
      </c>
      <c r="S67" s="77" t="s">
        <v>15</v>
      </c>
      <c r="T67" s="77" t="s">
        <v>15</v>
      </c>
      <c r="U67" s="77" t="s">
        <v>15</v>
      </c>
      <c r="V67" s="78" t="s">
        <v>41</v>
      </c>
      <c r="W67" s="77" t="s">
        <v>15</v>
      </c>
      <c r="X67" s="77" t="s">
        <v>15</v>
      </c>
      <c r="Y67" s="77" t="s">
        <v>15</v>
      </c>
      <c r="Z67" s="77" t="s">
        <v>15</v>
      </c>
    </row>
    <row r="68" spans="1:26">
      <c r="A68" s="72">
        <v>67</v>
      </c>
      <c r="B68" s="81" t="s">
        <v>311</v>
      </c>
      <c r="C68" s="74" t="s">
        <v>141</v>
      </c>
      <c r="D68" s="74" t="s">
        <v>134</v>
      </c>
      <c r="E68" s="74" t="s">
        <v>141</v>
      </c>
      <c r="F68" s="74" t="s">
        <v>141</v>
      </c>
      <c r="G68" s="74" t="s">
        <v>141</v>
      </c>
      <c r="H68" s="74" t="s">
        <v>141</v>
      </c>
      <c r="I68" s="75" t="s">
        <v>312</v>
      </c>
      <c r="J68" s="75" t="s">
        <v>313</v>
      </c>
      <c r="K68" s="75" t="s">
        <v>300</v>
      </c>
      <c r="L68" s="82" t="s">
        <v>301</v>
      </c>
      <c r="M68" s="73" t="s">
        <v>137</v>
      </c>
      <c r="N68" s="64"/>
      <c r="O68" s="77" t="s">
        <v>15</v>
      </c>
      <c r="P68" s="77" t="s">
        <v>15</v>
      </c>
      <c r="Q68" s="77" t="s">
        <v>15</v>
      </c>
      <c r="R68" s="77" t="s">
        <v>15</v>
      </c>
      <c r="S68" s="77" t="s">
        <v>15</v>
      </c>
      <c r="T68" s="77" t="s">
        <v>15</v>
      </c>
      <c r="U68" s="77" t="s">
        <v>15</v>
      </c>
      <c r="V68" s="77" t="s">
        <v>15</v>
      </c>
      <c r="W68" s="77" t="s">
        <v>15</v>
      </c>
      <c r="X68" s="77" t="s">
        <v>15</v>
      </c>
      <c r="Y68" s="78" t="s">
        <v>41</v>
      </c>
      <c r="Z68" s="77" t="s">
        <v>15</v>
      </c>
    </row>
    <row r="69" spans="1:26">
      <c r="A69" s="72">
        <v>68</v>
      </c>
      <c r="B69" s="81" t="s">
        <v>314</v>
      </c>
      <c r="C69" s="74" t="s">
        <v>134</v>
      </c>
      <c r="D69" s="74" t="s">
        <v>141</v>
      </c>
      <c r="E69" s="74" t="s">
        <v>141</v>
      </c>
      <c r="F69" s="74" t="s">
        <v>141</v>
      </c>
      <c r="G69" s="74" t="s">
        <v>141</v>
      </c>
      <c r="H69" s="74" t="s">
        <v>141</v>
      </c>
      <c r="I69" s="75" t="s">
        <v>315</v>
      </c>
      <c r="J69" s="75" t="s">
        <v>316</v>
      </c>
      <c r="K69" s="75" t="s">
        <v>300</v>
      </c>
      <c r="L69" s="82" t="s">
        <v>301</v>
      </c>
      <c r="M69" s="73" t="s">
        <v>137</v>
      </c>
      <c r="N69" s="64"/>
      <c r="O69" s="77" t="s">
        <v>15</v>
      </c>
      <c r="P69" s="77" t="s">
        <v>15</v>
      </c>
      <c r="Q69" s="77" t="s">
        <v>15</v>
      </c>
      <c r="R69" s="77" t="s">
        <v>15</v>
      </c>
      <c r="S69" s="77" t="s">
        <v>15</v>
      </c>
      <c r="T69" s="77" t="s">
        <v>15</v>
      </c>
      <c r="U69" s="77" t="s">
        <v>15</v>
      </c>
      <c r="V69" s="77" t="s">
        <v>15</v>
      </c>
      <c r="W69" s="77" t="s">
        <v>15</v>
      </c>
      <c r="X69" s="77" t="s">
        <v>15</v>
      </c>
      <c r="Y69" s="77" t="s">
        <v>15</v>
      </c>
      <c r="Z69" s="78" t="s">
        <v>41</v>
      </c>
    </row>
    <row r="70" spans="1:26">
      <c r="A70" s="72">
        <v>69</v>
      </c>
      <c r="B70" s="81" t="s">
        <v>317</v>
      </c>
      <c r="C70" s="74" t="s">
        <v>134</v>
      </c>
      <c r="D70" s="74" t="s">
        <v>141</v>
      </c>
      <c r="E70" s="74" t="s">
        <v>141</v>
      </c>
      <c r="F70" s="74" t="s">
        <v>141</v>
      </c>
      <c r="G70" s="74" t="s">
        <v>141</v>
      </c>
      <c r="H70" s="74" t="s">
        <v>141</v>
      </c>
      <c r="I70" s="75" t="s">
        <v>318</v>
      </c>
      <c r="J70" s="75" t="s">
        <v>319</v>
      </c>
      <c r="K70" s="75" t="s">
        <v>300</v>
      </c>
      <c r="L70" s="82" t="s">
        <v>301</v>
      </c>
      <c r="M70" s="73" t="s">
        <v>137</v>
      </c>
      <c r="N70" s="64"/>
      <c r="O70" s="77" t="s">
        <v>15</v>
      </c>
      <c r="P70" s="77" t="s">
        <v>15</v>
      </c>
      <c r="Q70" s="77" t="s">
        <v>15</v>
      </c>
      <c r="R70" s="77" t="s">
        <v>15</v>
      </c>
      <c r="S70" s="77" t="s">
        <v>15</v>
      </c>
      <c r="T70" s="77" t="s">
        <v>15</v>
      </c>
      <c r="U70" s="77" t="s">
        <v>15</v>
      </c>
      <c r="V70" s="77" t="s">
        <v>15</v>
      </c>
      <c r="W70" s="77" t="s">
        <v>15</v>
      </c>
      <c r="X70" s="77" t="s">
        <v>15</v>
      </c>
      <c r="Y70" s="77" t="s">
        <v>15</v>
      </c>
      <c r="Z70" s="78" t="s">
        <v>41</v>
      </c>
    </row>
    <row r="71" spans="1:26">
      <c r="A71" s="72">
        <v>70</v>
      </c>
      <c r="B71" s="81" t="s">
        <v>320</v>
      </c>
      <c r="C71" s="74" t="s">
        <v>141</v>
      </c>
      <c r="D71" s="74" t="s">
        <v>141</v>
      </c>
      <c r="E71" s="74" t="s">
        <v>134</v>
      </c>
      <c r="F71" s="74" t="s">
        <v>141</v>
      </c>
      <c r="G71" s="74" t="s">
        <v>141</v>
      </c>
      <c r="H71" s="74" t="s">
        <v>141</v>
      </c>
      <c r="I71" s="75" t="s">
        <v>321</v>
      </c>
      <c r="J71" s="75" t="s">
        <v>322</v>
      </c>
      <c r="K71" s="75" t="s">
        <v>300</v>
      </c>
      <c r="L71" s="82" t="s">
        <v>301</v>
      </c>
      <c r="M71" s="73" t="s">
        <v>137</v>
      </c>
      <c r="N71" s="64"/>
      <c r="O71" s="77" t="s">
        <v>15</v>
      </c>
      <c r="P71" s="77" t="s">
        <v>15</v>
      </c>
      <c r="Q71" s="77" t="s">
        <v>15</v>
      </c>
      <c r="R71" s="77" t="s">
        <v>15</v>
      </c>
      <c r="S71" s="77" t="s">
        <v>15</v>
      </c>
      <c r="T71" s="77" t="s">
        <v>15</v>
      </c>
      <c r="U71" s="77" t="s">
        <v>15</v>
      </c>
      <c r="V71" s="77" t="s">
        <v>15</v>
      </c>
      <c r="W71" s="77" t="s">
        <v>15</v>
      </c>
      <c r="X71" s="78" t="s">
        <v>41</v>
      </c>
      <c r="Y71" s="77" t="s">
        <v>15</v>
      </c>
      <c r="Z71" s="77" t="s">
        <v>15</v>
      </c>
    </row>
    <row r="72" spans="1:26">
      <c r="A72" s="72">
        <v>71</v>
      </c>
      <c r="B72" s="81" t="s">
        <v>323</v>
      </c>
      <c r="C72" s="74" t="s">
        <v>141</v>
      </c>
      <c r="D72" s="74" t="s">
        <v>141</v>
      </c>
      <c r="E72" s="74" t="s">
        <v>141</v>
      </c>
      <c r="F72" s="74" t="s">
        <v>141</v>
      </c>
      <c r="G72" s="74" t="s">
        <v>141</v>
      </c>
      <c r="H72" s="74" t="s">
        <v>134</v>
      </c>
      <c r="I72" s="75" t="s">
        <v>324</v>
      </c>
      <c r="J72" s="75" t="s">
        <v>324</v>
      </c>
      <c r="K72" s="75" t="s">
        <v>144</v>
      </c>
      <c r="L72" s="82" t="s">
        <v>325</v>
      </c>
      <c r="M72" s="73" t="s">
        <v>137</v>
      </c>
      <c r="N72" s="64"/>
      <c r="O72" s="77" t="s">
        <v>15</v>
      </c>
      <c r="P72" s="77" t="s">
        <v>15</v>
      </c>
      <c r="Q72" s="77" t="s">
        <v>15</v>
      </c>
      <c r="R72" s="77" t="s">
        <v>15</v>
      </c>
      <c r="S72" s="77" t="s">
        <v>15</v>
      </c>
      <c r="T72" s="77" t="s">
        <v>15</v>
      </c>
      <c r="U72" s="77" t="s">
        <v>15</v>
      </c>
      <c r="V72" s="77" t="s">
        <v>15</v>
      </c>
      <c r="W72" s="78" t="s">
        <v>41</v>
      </c>
      <c r="X72" s="77" t="s">
        <v>15</v>
      </c>
      <c r="Y72" s="77" t="s">
        <v>15</v>
      </c>
      <c r="Z72" s="77" t="s">
        <v>15</v>
      </c>
    </row>
    <row r="73" spans="1:26">
      <c r="A73" s="72">
        <v>72</v>
      </c>
      <c r="B73" s="81" t="s">
        <v>326</v>
      </c>
      <c r="C73" s="74" t="s">
        <v>141</v>
      </c>
      <c r="D73" s="74" t="s">
        <v>141</v>
      </c>
      <c r="E73" s="74" t="s">
        <v>141</v>
      </c>
      <c r="F73" s="74" t="s">
        <v>141</v>
      </c>
      <c r="G73" s="74" t="s">
        <v>141</v>
      </c>
      <c r="H73" s="74" t="s">
        <v>134</v>
      </c>
      <c r="I73" s="75" t="s">
        <v>327</v>
      </c>
      <c r="J73" s="75" t="s">
        <v>327</v>
      </c>
      <c r="K73" s="75" t="s">
        <v>144</v>
      </c>
      <c r="L73" s="82" t="s">
        <v>325</v>
      </c>
      <c r="M73" s="73" t="s">
        <v>137</v>
      </c>
      <c r="N73" s="64"/>
      <c r="O73" s="77" t="s">
        <v>15</v>
      </c>
      <c r="P73" s="77" t="s">
        <v>15</v>
      </c>
      <c r="Q73" s="77" t="s">
        <v>15</v>
      </c>
      <c r="R73" s="77" t="s">
        <v>15</v>
      </c>
      <c r="S73" s="77" t="s">
        <v>15</v>
      </c>
      <c r="T73" s="77" t="s">
        <v>15</v>
      </c>
      <c r="U73" s="77" t="s">
        <v>15</v>
      </c>
      <c r="V73" s="77" t="s">
        <v>15</v>
      </c>
      <c r="W73" s="78" t="s">
        <v>41</v>
      </c>
      <c r="X73" s="77" t="s">
        <v>15</v>
      </c>
      <c r="Y73" s="77" t="s">
        <v>15</v>
      </c>
      <c r="Z73" s="77" t="s">
        <v>15</v>
      </c>
    </row>
    <row r="74" spans="1:26">
      <c r="A74" s="72">
        <v>73</v>
      </c>
      <c r="B74" s="81" t="s">
        <v>328</v>
      </c>
      <c r="C74" s="74" t="s">
        <v>141</v>
      </c>
      <c r="D74" s="74" t="s">
        <v>141</v>
      </c>
      <c r="E74" s="74" t="s">
        <v>141</v>
      </c>
      <c r="F74" s="74" t="s">
        <v>141</v>
      </c>
      <c r="G74" s="74" t="s">
        <v>141</v>
      </c>
      <c r="H74" s="74" t="s">
        <v>134</v>
      </c>
      <c r="I74" s="75" t="s">
        <v>329</v>
      </c>
      <c r="J74" s="75" t="s">
        <v>329</v>
      </c>
      <c r="K74" s="75" t="s">
        <v>144</v>
      </c>
      <c r="L74" s="82" t="s">
        <v>325</v>
      </c>
      <c r="M74" s="73" t="s">
        <v>137</v>
      </c>
      <c r="N74" s="64"/>
      <c r="O74" s="77" t="s">
        <v>15</v>
      </c>
      <c r="P74" s="77" t="s">
        <v>15</v>
      </c>
      <c r="Q74" s="77" t="s">
        <v>15</v>
      </c>
      <c r="R74" s="77" t="s">
        <v>15</v>
      </c>
      <c r="S74" s="77" t="s">
        <v>15</v>
      </c>
      <c r="T74" s="77" t="s">
        <v>15</v>
      </c>
      <c r="U74" s="77" t="s">
        <v>15</v>
      </c>
      <c r="V74" s="77" t="s">
        <v>15</v>
      </c>
      <c r="W74" s="78" t="s">
        <v>41</v>
      </c>
      <c r="X74" s="77" t="s">
        <v>15</v>
      </c>
      <c r="Y74" s="77" t="s">
        <v>15</v>
      </c>
      <c r="Z74" s="77" t="s">
        <v>15</v>
      </c>
    </row>
    <row r="75" spans="1:26">
      <c r="A75" s="72">
        <v>74</v>
      </c>
      <c r="B75" s="81" t="s">
        <v>330</v>
      </c>
      <c r="C75" s="74" t="s">
        <v>141</v>
      </c>
      <c r="D75" s="74" t="s">
        <v>141</v>
      </c>
      <c r="E75" s="74" t="s">
        <v>141</v>
      </c>
      <c r="F75" s="74" t="s">
        <v>134</v>
      </c>
      <c r="G75" s="74" t="s">
        <v>141</v>
      </c>
      <c r="H75" s="74" t="s">
        <v>141</v>
      </c>
      <c r="I75" s="75" t="s">
        <v>331</v>
      </c>
      <c r="J75" s="75" t="s">
        <v>331</v>
      </c>
      <c r="K75" s="75" t="s">
        <v>144</v>
      </c>
      <c r="L75" s="82" t="s">
        <v>325</v>
      </c>
      <c r="M75" s="73" t="s">
        <v>137</v>
      </c>
      <c r="N75" s="64"/>
      <c r="O75" s="77" t="s">
        <v>15</v>
      </c>
      <c r="P75" s="77" t="s">
        <v>15</v>
      </c>
      <c r="Q75" s="77" t="s">
        <v>15</v>
      </c>
      <c r="R75" s="77" t="s">
        <v>15</v>
      </c>
      <c r="S75" s="77" t="s">
        <v>15</v>
      </c>
      <c r="T75" s="77" t="s">
        <v>15</v>
      </c>
      <c r="U75" s="78" t="s">
        <v>41</v>
      </c>
      <c r="V75" s="77" t="s">
        <v>15</v>
      </c>
      <c r="W75" s="77" t="s">
        <v>15</v>
      </c>
      <c r="X75" s="77" t="s">
        <v>15</v>
      </c>
      <c r="Y75" s="77" t="s">
        <v>15</v>
      </c>
      <c r="Z75" s="77" t="s">
        <v>15</v>
      </c>
    </row>
    <row r="76" spans="1:26">
      <c r="A76" s="72">
        <v>75</v>
      </c>
      <c r="B76" s="81" t="s">
        <v>332</v>
      </c>
      <c r="C76" s="74" t="s">
        <v>141</v>
      </c>
      <c r="D76" s="74" t="s">
        <v>141</v>
      </c>
      <c r="E76" s="74" t="s">
        <v>141</v>
      </c>
      <c r="F76" s="74" t="s">
        <v>141</v>
      </c>
      <c r="G76" s="74" t="s">
        <v>134</v>
      </c>
      <c r="H76" s="74" t="s">
        <v>141</v>
      </c>
      <c r="I76" s="75" t="s">
        <v>333</v>
      </c>
      <c r="J76" s="75" t="s">
        <v>333</v>
      </c>
      <c r="K76" s="75" t="s">
        <v>144</v>
      </c>
      <c r="L76" s="82" t="s">
        <v>325</v>
      </c>
      <c r="M76" s="73" t="s">
        <v>137</v>
      </c>
      <c r="N76" s="64"/>
      <c r="O76" s="77" t="s">
        <v>15</v>
      </c>
      <c r="P76" s="77" t="s">
        <v>15</v>
      </c>
      <c r="Q76" s="77" t="s">
        <v>15</v>
      </c>
      <c r="R76" s="77" t="s">
        <v>15</v>
      </c>
      <c r="S76" s="77" t="s">
        <v>15</v>
      </c>
      <c r="T76" s="77" t="s">
        <v>15</v>
      </c>
      <c r="U76" s="77" t="s">
        <v>15</v>
      </c>
      <c r="V76" s="78" t="s">
        <v>41</v>
      </c>
      <c r="W76" s="77" t="s">
        <v>15</v>
      </c>
      <c r="X76" s="77" t="s">
        <v>15</v>
      </c>
      <c r="Y76" s="77" t="s">
        <v>15</v>
      </c>
      <c r="Z76" s="77" t="s">
        <v>15</v>
      </c>
    </row>
    <row r="77" spans="1:26">
      <c r="A77" s="72">
        <v>76</v>
      </c>
      <c r="B77" s="81" t="s">
        <v>334</v>
      </c>
      <c r="C77" s="74" t="s">
        <v>141</v>
      </c>
      <c r="D77" s="74" t="s">
        <v>141</v>
      </c>
      <c r="E77" s="74" t="s">
        <v>141</v>
      </c>
      <c r="F77" s="74" t="s">
        <v>141</v>
      </c>
      <c r="G77" s="74" t="s">
        <v>141</v>
      </c>
      <c r="H77" s="74" t="s">
        <v>134</v>
      </c>
      <c r="I77" s="75" t="s">
        <v>335</v>
      </c>
      <c r="J77" s="75" t="s">
        <v>335</v>
      </c>
      <c r="K77" s="75" t="s">
        <v>144</v>
      </c>
      <c r="L77" s="83" t="s">
        <v>336</v>
      </c>
      <c r="M77" s="73" t="s">
        <v>137</v>
      </c>
      <c r="N77" s="64"/>
      <c r="O77" s="77" t="s">
        <v>15</v>
      </c>
      <c r="P77" s="77" t="s">
        <v>15</v>
      </c>
      <c r="Q77" s="77" t="s">
        <v>15</v>
      </c>
      <c r="R77" s="77" t="s">
        <v>15</v>
      </c>
      <c r="S77" s="77" t="s">
        <v>15</v>
      </c>
      <c r="T77" s="77" t="s">
        <v>15</v>
      </c>
      <c r="U77" s="77" t="s">
        <v>15</v>
      </c>
      <c r="V77" s="77" t="s">
        <v>15</v>
      </c>
      <c r="W77" s="78" t="s">
        <v>41</v>
      </c>
      <c r="X77" s="77" t="s">
        <v>15</v>
      </c>
      <c r="Y77" s="77" t="s">
        <v>15</v>
      </c>
      <c r="Z77" s="77" t="s">
        <v>15</v>
      </c>
    </row>
    <row r="78" spans="1:26">
      <c r="A78" s="72">
        <v>77</v>
      </c>
      <c r="B78" s="81" t="s">
        <v>337</v>
      </c>
      <c r="C78" s="74" t="s">
        <v>141</v>
      </c>
      <c r="D78" s="74" t="s">
        <v>141</v>
      </c>
      <c r="E78" s="74" t="s">
        <v>141</v>
      </c>
      <c r="F78" s="74" t="s">
        <v>141</v>
      </c>
      <c r="G78" s="74" t="s">
        <v>141</v>
      </c>
      <c r="H78" s="74" t="s">
        <v>134</v>
      </c>
      <c r="I78" s="75" t="s">
        <v>338</v>
      </c>
      <c r="J78" s="75" t="s">
        <v>338</v>
      </c>
      <c r="K78" s="75" t="s">
        <v>144</v>
      </c>
      <c r="L78" s="83" t="s">
        <v>336</v>
      </c>
      <c r="M78" s="73" t="s">
        <v>137</v>
      </c>
      <c r="N78" s="64"/>
      <c r="O78" s="77" t="s">
        <v>15</v>
      </c>
      <c r="P78" s="77" t="s">
        <v>15</v>
      </c>
      <c r="Q78" s="77" t="s">
        <v>15</v>
      </c>
      <c r="R78" s="77" t="s">
        <v>15</v>
      </c>
      <c r="S78" s="77" t="s">
        <v>15</v>
      </c>
      <c r="T78" s="77" t="s">
        <v>15</v>
      </c>
      <c r="U78" s="77" t="s">
        <v>15</v>
      </c>
      <c r="V78" s="77" t="s">
        <v>15</v>
      </c>
      <c r="W78" s="78" t="s">
        <v>41</v>
      </c>
      <c r="X78" s="77" t="s">
        <v>15</v>
      </c>
      <c r="Y78" s="77" t="s">
        <v>15</v>
      </c>
      <c r="Z78" s="77" t="s">
        <v>15</v>
      </c>
    </row>
    <row r="79" spans="1:26">
      <c r="A79" s="72">
        <v>78</v>
      </c>
      <c r="B79" s="81" t="s">
        <v>339</v>
      </c>
      <c r="C79" s="74" t="s">
        <v>141</v>
      </c>
      <c r="D79" s="74" t="s">
        <v>141</v>
      </c>
      <c r="E79" s="74" t="s">
        <v>141</v>
      </c>
      <c r="F79" s="74" t="s">
        <v>134</v>
      </c>
      <c r="G79" s="74" t="s">
        <v>141</v>
      </c>
      <c r="H79" s="74" t="s">
        <v>141</v>
      </c>
      <c r="I79" s="75" t="s">
        <v>340</v>
      </c>
      <c r="J79" s="75" t="s">
        <v>340</v>
      </c>
      <c r="K79" s="75" t="s">
        <v>341</v>
      </c>
      <c r="L79" s="83" t="s">
        <v>336</v>
      </c>
      <c r="M79" s="73" t="s">
        <v>137</v>
      </c>
      <c r="N79" s="64"/>
      <c r="O79" s="77" t="s">
        <v>15</v>
      </c>
      <c r="P79" s="77" t="s">
        <v>15</v>
      </c>
      <c r="Q79" s="77" t="s">
        <v>15</v>
      </c>
      <c r="R79" s="77" t="s">
        <v>15</v>
      </c>
      <c r="S79" s="77" t="s">
        <v>15</v>
      </c>
      <c r="T79" s="77" t="s">
        <v>15</v>
      </c>
      <c r="U79" s="78" t="s">
        <v>41</v>
      </c>
      <c r="V79" s="77" t="s">
        <v>15</v>
      </c>
      <c r="W79" s="77" t="s">
        <v>15</v>
      </c>
      <c r="X79" s="77" t="s">
        <v>15</v>
      </c>
      <c r="Y79" s="77" t="s">
        <v>15</v>
      </c>
      <c r="Z79" s="77" t="s">
        <v>15</v>
      </c>
    </row>
    <row r="80" spans="1:26">
      <c r="A80" s="72">
        <v>79</v>
      </c>
      <c r="B80" s="81" t="s">
        <v>342</v>
      </c>
      <c r="C80" s="74" t="s">
        <v>141</v>
      </c>
      <c r="D80" s="74" t="s">
        <v>141</v>
      </c>
      <c r="E80" s="74" t="s">
        <v>141</v>
      </c>
      <c r="F80" s="74" t="s">
        <v>141</v>
      </c>
      <c r="G80" s="74" t="s">
        <v>134</v>
      </c>
      <c r="H80" s="74" t="s">
        <v>141</v>
      </c>
      <c r="I80" s="75" t="s">
        <v>343</v>
      </c>
      <c r="J80" s="75" t="s">
        <v>343</v>
      </c>
      <c r="K80" s="75" t="s">
        <v>341</v>
      </c>
      <c r="L80" s="83" t="s">
        <v>336</v>
      </c>
      <c r="M80" s="73" t="s">
        <v>137</v>
      </c>
      <c r="N80" s="64"/>
      <c r="O80" s="77" t="s">
        <v>15</v>
      </c>
      <c r="P80" s="77" t="s">
        <v>15</v>
      </c>
      <c r="Q80" s="77" t="s">
        <v>15</v>
      </c>
      <c r="R80" s="77" t="s">
        <v>15</v>
      </c>
      <c r="S80" s="77" t="s">
        <v>15</v>
      </c>
      <c r="T80" s="77" t="s">
        <v>15</v>
      </c>
      <c r="U80" s="77" t="s">
        <v>15</v>
      </c>
      <c r="V80" s="78" t="s">
        <v>41</v>
      </c>
      <c r="W80" s="77" t="s">
        <v>15</v>
      </c>
      <c r="X80" s="77" t="s">
        <v>15</v>
      </c>
      <c r="Y80" s="77" t="s">
        <v>15</v>
      </c>
      <c r="Z80" s="77" t="s">
        <v>15</v>
      </c>
    </row>
    <row r="81" spans="1:26">
      <c r="A81" s="72">
        <v>80</v>
      </c>
      <c r="B81" s="81" t="s">
        <v>344</v>
      </c>
      <c r="C81" s="74" t="s">
        <v>141</v>
      </c>
      <c r="D81" s="74" t="s">
        <v>134</v>
      </c>
      <c r="E81" s="74" t="s">
        <v>141</v>
      </c>
      <c r="F81" s="74" t="s">
        <v>141</v>
      </c>
      <c r="G81" s="74" t="s">
        <v>141</v>
      </c>
      <c r="H81" s="74" t="s">
        <v>141</v>
      </c>
      <c r="I81" s="75" t="s">
        <v>345</v>
      </c>
      <c r="J81" s="75" t="s">
        <v>345</v>
      </c>
      <c r="K81" s="75" t="s">
        <v>341</v>
      </c>
      <c r="L81" s="83" t="s">
        <v>336</v>
      </c>
      <c r="M81" s="73" t="s">
        <v>137</v>
      </c>
      <c r="N81" s="64"/>
      <c r="O81" s="77" t="s">
        <v>15</v>
      </c>
      <c r="P81" s="77" t="s">
        <v>15</v>
      </c>
      <c r="Q81" s="77" t="s">
        <v>15</v>
      </c>
      <c r="R81" s="77" t="s">
        <v>15</v>
      </c>
      <c r="S81" s="77" t="s">
        <v>15</v>
      </c>
      <c r="T81" s="77" t="s">
        <v>15</v>
      </c>
      <c r="U81" s="77" t="s">
        <v>15</v>
      </c>
      <c r="V81" s="77" t="s">
        <v>15</v>
      </c>
      <c r="W81" s="77" t="s">
        <v>15</v>
      </c>
      <c r="X81" s="77" t="s">
        <v>15</v>
      </c>
      <c r="Y81" s="78" t="s">
        <v>41</v>
      </c>
      <c r="Z81" s="77" t="s">
        <v>15</v>
      </c>
    </row>
    <row r="82" spans="1:26">
      <c r="A82" s="72">
        <v>81</v>
      </c>
      <c r="B82" s="81" t="s">
        <v>346</v>
      </c>
      <c r="C82" s="74" t="s">
        <v>134</v>
      </c>
      <c r="D82" s="74" t="s">
        <v>141</v>
      </c>
      <c r="E82" s="74" t="s">
        <v>141</v>
      </c>
      <c r="F82" s="74" t="s">
        <v>141</v>
      </c>
      <c r="G82" s="74" t="s">
        <v>141</v>
      </c>
      <c r="H82" s="74" t="s">
        <v>141</v>
      </c>
      <c r="I82" s="75" t="s">
        <v>347</v>
      </c>
      <c r="J82" s="75" t="s">
        <v>347</v>
      </c>
      <c r="K82" s="75" t="s">
        <v>341</v>
      </c>
      <c r="L82" s="83" t="s">
        <v>336</v>
      </c>
      <c r="M82" s="73" t="s">
        <v>137</v>
      </c>
      <c r="N82" s="64"/>
      <c r="O82" s="77" t="s">
        <v>15</v>
      </c>
      <c r="P82" s="77" t="s">
        <v>15</v>
      </c>
      <c r="Q82" s="77" t="s">
        <v>15</v>
      </c>
      <c r="R82" s="77" t="s">
        <v>15</v>
      </c>
      <c r="S82" s="77" t="s">
        <v>15</v>
      </c>
      <c r="T82" s="77" t="s">
        <v>15</v>
      </c>
      <c r="U82" s="77" t="s">
        <v>15</v>
      </c>
      <c r="V82" s="77" t="s">
        <v>15</v>
      </c>
      <c r="W82" s="77" t="s">
        <v>15</v>
      </c>
      <c r="X82" s="77" t="s">
        <v>15</v>
      </c>
      <c r="Y82" s="77" t="s">
        <v>15</v>
      </c>
      <c r="Z82" s="78" t="s">
        <v>41</v>
      </c>
    </row>
    <row r="83" spans="1:26">
      <c r="A83" s="72">
        <v>82</v>
      </c>
      <c r="B83" s="81" t="s">
        <v>348</v>
      </c>
      <c r="C83" s="74" t="s">
        <v>134</v>
      </c>
      <c r="D83" s="74" t="s">
        <v>141</v>
      </c>
      <c r="E83" s="74" t="s">
        <v>141</v>
      </c>
      <c r="F83" s="74" t="s">
        <v>141</v>
      </c>
      <c r="G83" s="74" t="s">
        <v>141</v>
      </c>
      <c r="H83" s="74" t="s">
        <v>141</v>
      </c>
      <c r="I83" s="75" t="s">
        <v>349</v>
      </c>
      <c r="J83" s="75" t="s">
        <v>349</v>
      </c>
      <c r="K83" s="75" t="s">
        <v>341</v>
      </c>
      <c r="L83" s="83" t="s">
        <v>336</v>
      </c>
      <c r="M83" s="73" t="s">
        <v>137</v>
      </c>
      <c r="N83" s="64"/>
      <c r="O83" s="77" t="s">
        <v>15</v>
      </c>
      <c r="P83" s="77" t="s">
        <v>15</v>
      </c>
      <c r="Q83" s="77" t="s">
        <v>15</v>
      </c>
      <c r="R83" s="77" t="s">
        <v>15</v>
      </c>
      <c r="S83" s="77" t="s">
        <v>15</v>
      </c>
      <c r="T83" s="77" t="s">
        <v>15</v>
      </c>
      <c r="U83" s="77" t="s">
        <v>15</v>
      </c>
      <c r="V83" s="77" t="s">
        <v>15</v>
      </c>
      <c r="W83" s="77" t="s">
        <v>15</v>
      </c>
      <c r="X83" s="77" t="s">
        <v>15</v>
      </c>
      <c r="Y83" s="77" t="s">
        <v>15</v>
      </c>
      <c r="Z83" s="78" t="s">
        <v>41</v>
      </c>
    </row>
    <row r="84" spans="1:26">
      <c r="A84" s="72">
        <v>83</v>
      </c>
      <c r="B84" s="81" t="s">
        <v>350</v>
      </c>
      <c r="C84" s="74" t="s">
        <v>141</v>
      </c>
      <c r="D84" s="74" t="s">
        <v>141</v>
      </c>
      <c r="E84" s="74" t="s">
        <v>134</v>
      </c>
      <c r="F84" s="74" t="s">
        <v>141</v>
      </c>
      <c r="G84" s="74" t="s">
        <v>141</v>
      </c>
      <c r="H84" s="74" t="s">
        <v>141</v>
      </c>
      <c r="I84" s="75" t="s">
        <v>351</v>
      </c>
      <c r="J84" s="75" t="s">
        <v>351</v>
      </c>
      <c r="K84" s="75" t="s">
        <v>341</v>
      </c>
      <c r="L84" s="83" t="s">
        <v>336</v>
      </c>
      <c r="M84" s="73" t="s">
        <v>137</v>
      </c>
      <c r="N84" s="64"/>
      <c r="O84" s="77" t="s">
        <v>15</v>
      </c>
      <c r="P84" s="77" t="s">
        <v>15</v>
      </c>
      <c r="Q84" s="77" t="s">
        <v>15</v>
      </c>
      <c r="R84" s="77" t="s">
        <v>15</v>
      </c>
      <c r="S84" s="77" t="s">
        <v>15</v>
      </c>
      <c r="T84" s="77" t="s">
        <v>15</v>
      </c>
      <c r="U84" s="77" t="s">
        <v>15</v>
      </c>
      <c r="V84" s="77" t="s">
        <v>15</v>
      </c>
      <c r="W84" s="77" t="s">
        <v>15</v>
      </c>
      <c r="X84" s="78" t="s">
        <v>41</v>
      </c>
      <c r="Y84" s="77" t="s">
        <v>15</v>
      </c>
      <c r="Z84" s="77" t="s">
        <v>15</v>
      </c>
    </row>
    <row r="85" spans="1:26">
      <c r="A85" s="72">
        <v>84</v>
      </c>
      <c r="B85" s="81" t="s">
        <v>352</v>
      </c>
      <c r="C85" s="74" t="s">
        <v>141</v>
      </c>
      <c r="D85" s="74" t="s">
        <v>141</v>
      </c>
      <c r="E85" s="74" t="s">
        <v>141</v>
      </c>
      <c r="F85" s="74" t="s">
        <v>141</v>
      </c>
      <c r="G85" s="74" t="s">
        <v>141</v>
      </c>
      <c r="H85" s="74" t="s">
        <v>134</v>
      </c>
      <c r="I85" s="75" t="s">
        <v>353</v>
      </c>
      <c r="J85" s="75" t="s">
        <v>353</v>
      </c>
      <c r="K85" s="75" t="s">
        <v>354</v>
      </c>
      <c r="L85" s="83" t="s">
        <v>355</v>
      </c>
      <c r="M85" s="73" t="s">
        <v>137</v>
      </c>
      <c r="N85" s="64"/>
      <c r="O85" s="77" t="s">
        <v>15</v>
      </c>
      <c r="P85" s="77" t="s">
        <v>15</v>
      </c>
      <c r="Q85" s="77" t="s">
        <v>15</v>
      </c>
      <c r="R85" s="77" t="s">
        <v>15</v>
      </c>
      <c r="S85" s="77" t="s">
        <v>15</v>
      </c>
      <c r="T85" s="77" t="s">
        <v>15</v>
      </c>
      <c r="U85" s="77" t="s">
        <v>15</v>
      </c>
      <c r="V85" s="77" t="s">
        <v>15</v>
      </c>
      <c r="W85" s="78" t="s">
        <v>41</v>
      </c>
      <c r="X85" s="77" t="s">
        <v>15</v>
      </c>
      <c r="Y85" s="77" t="s">
        <v>15</v>
      </c>
      <c r="Z85" s="77" t="s">
        <v>15</v>
      </c>
    </row>
    <row r="86" spans="1:26">
      <c r="A86" s="72">
        <v>85</v>
      </c>
      <c r="B86" s="81" t="s">
        <v>356</v>
      </c>
      <c r="C86" s="74" t="s">
        <v>141</v>
      </c>
      <c r="D86" s="74" t="s">
        <v>141</v>
      </c>
      <c r="E86" s="74" t="s">
        <v>141</v>
      </c>
      <c r="F86" s="74" t="s">
        <v>141</v>
      </c>
      <c r="G86" s="74" t="s">
        <v>141</v>
      </c>
      <c r="H86" s="74" t="s">
        <v>134</v>
      </c>
      <c r="I86" s="75" t="s">
        <v>357</v>
      </c>
      <c r="J86" s="75" t="s">
        <v>357</v>
      </c>
      <c r="K86" s="75" t="s">
        <v>354</v>
      </c>
      <c r="L86" s="83" t="s">
        <v>355</v>
      </c>
      <c r="M86" s="73" t="s">
        <v>137</v>
      </c>
      <c r="N86" s="64"/>
      <c r="O86" s="77" t="s">
        <v>15</v>
      </c>
      <c r="P86" s="77" t="s">
        <v>15</v>
      </c>
      <c r="Q86" s="77" t="s">
        <v>15</v>
      </c>
      <c r="R86" s="77" t="s">
        <v>15</v>
      </c>
      <c r="S86" s="77" t="s">
        <v>15</v>
      </c>
      <c r="T86" s="77" t="s">
        <v>15</v>
      </c>
      <c r="U86" s="77" t="s">
        <v>15</v>
      </c>
      <c r="V86" s="77" t="s">
        <v>15</v>
      </c>
      <c r="W86" s="78" t="s">
        <v>41</v>
      </c>
      <c r="X86" s="77" t="s">
        <v>15</v>
      </c>
      <c r="Y86" s="77" t="s">
        <v>15</v>
      </c>
      <c r="Z86" s="77" t="s">
        <v>15</v>
      </c>
    </row>
    <row r="87" spans="1:26">
      <c r="A87" s="72">
        <v>86</v>
      </c>
      <c r="B87" s="81" t="s">
        <v>358</v>
      </c>
      <c r="C87" s="74" t="s">
        <v>141</v>
      </c>
      <c r="D87" s="74" t="s">
        <v>141</v>
      </c>
      <c r="E87" s="74" t="s">
        <v>141</v>
      </c>
      <c r="F87" s="74" t="s">
        <v>134</v>
      </c>
      <c r="G87" s="74" t="s">
        <v>141</v>
      </c>
      <c r="H87" s="74" t="s">
        <v>141</v>
      </c>
      <c r="I87" s="75" t="s">
        <v>359</v>
      </c>
      <c r="J87" s="75" t="s">
        <v>359</v>
      </c>
      <c r="K87" s="75" t="s">
        <v>354</v>
      </c>
      <c r="L87" s="83" t="s">
        <v>355</v>
      </c>
      <c r="M87" s="73" t="s">
        <v>137</v>
      </c>
      <c r="N87" s="81"/>
      <c r="O87" s="77" t="s">
        <v>15</v>
      </c>
      <c r="P87" s="77" t="s">
        <v>15</v>
      </c>
      <c r="Q87" s="77" t="s">
        <v>15</v>
      </c>
      <c r="R87" s="77" t="s">
        <v>15</v>
      </c>
      <c r="S87" s="77" t="s">
        <v>15</v>
      </c>
      <c r="T87" s="77" t="s">
        <v>15</v>
      </c>
      <c r="U87" s="78" t="s">
        <v>41</v>
      </c>
      <c r="V87" s="77" t="s">
        <v>15</v>
      </c>
      <c r="W87" s="77" t="s">
        <v>15</v>
      </c>
      <c r="X87" s="77" t="s">
        <v>15</v>
      </c>
      <c r="Y87" s="77" t="s">
        <v>15</v>
      </c>
      <c r="Z87" s="77" t="s">
        <v>15</v>
      </c>
    </row>
    <row r="88" spans="1:26">
      <c r="A88" s="72">
        <v>87</v>
      </c>
      <c r="B88" s="81" t="s">
        <v>360</v>
      </c>
      <c r="C88" s="74" t="s">
        <v>141</v>
      </c>
      <c r="D88" s="74" t="s">
        <v>141</v>
      </c>
      <c r="E88" s="74" t="s">
        <v>141</v>
      </c>
      <c r="F88" s="74" t="s">
        <v>141</v>
      </c>
      <c r="G88" s="74" t="s">
        <v>134</v>
      </c>
      <c r="H88" s="74" t="s">
        <v>141</v>
      </c>
      <c r="I88" s="75" t="s">
        <v>361</v>
      </c>
      <c r="J88" s="75" t="s">
        <v>361</v>
      </c>
      <c r="K88" s="75" t="s">
        <v>354</v>
      </c>
      <c r="L88" s="83" t="s">
        <v>355</v>
      </c>
      <c r="M88" s="73" t="s">
        <v>137</v>
      </c>
      <c r="N88" s="81"/>
      <c r="O88" s="77" t="s">
        <v>15</v>
      </c>
      <c r="P88" s="77" t="s">
        <v>15</v>
      </c>
      <c r="Q88" s="77" t="s">
        <v>15</v>
      </c>
      <c r="R88" s="77" t="s">
        <v>15</v>
      </c>
      <c r="S88" s="77" t="s">
        <v>15</v>
      </c>
      <c r="T88" s="77" t="s">
        <v>15</v>
      </c>
      <c r="U88" s="77" t="s">
        <v>15</v>
      </c>
      <c r="V88" s="78" t="s">
        <v>41</v>
      </c>
      <c r="W88" s="77" t="s">
        <v>15</v>
      </c>
      <c r="X88" s="77" t="s">
        <v>15</v>
      </c>
      <c r="Y88" s="77" t="s">
        <v>15</v>
      </c>
      <c r="Z88" s="77" t="s">
        <v>15</v>
      </c>
    </row>
    <row r="89" spans="1:26">
      <c r="A89" s="72">
        <v>88</v>
      </c>
      <c r="B89" s="81" t="s">
        <v>362</v>
      </c>
      <c r="C89" s="74" t="s">
        <v>141</v>
      </c>
      <c r="D89" s="74" t="s">
        <v>134</v>
      </c>
      <c r="E89" s="74" t="s">
        <v>141</v>
      </c>
      <c r="F89" s="74" t="s">
        <v>141</v>
      </c>
      <c r="G89" s="74" t="s">
        <v>141</v>
      </c>
      <c r="H89" s="74" t="s">
        <v>141</v>
      </c>
      <c r="I89" s="75" t="s">
        <v>363</v>
      </c>
      <c r="J89" s="75" t="s">
        <v>363</v>
      </c>
      <c r="K89" s="75" t="s">
        <v>354</v>
      </c>
      <c r="L89" s="83" t="s">
        <v>355</v>
      </c>
      <c r="M89" s="73" t="s">
        <v>137</v>
      </c>
      <c r="N89" s="81"/>
      <c r="O89" s="77" t="s">
        <v>15</v>
      </c>
      <c r="P89" s="77" t="s">
        <v>15</v>
      </c>
      <c r="Q89" s="77" t="s">
        <v>15</v>
      </c>
      <c r="R89" s="77" t="s">
        <v>15</v>
      </c>
      <c r="S89" s="77" t="s">
        <v>15</v>
      </c>
      <c r="T89" s="77" t="s">
        <v>15</v>
      </c>
      <c r="U89" s="77" t="s">
        <v>15</v>
      </c>
      <c r="V89" s="77" t="s">
        <v>15</v>
      </c>
      <c r="W89" s="77" t="s">
        <v>15</v>
      </c>
      <c r="X89" s="77" t="s">
        <v>15</v>
      </c>
      <c r="Y89" s="78" t="s">
        <v>41</v>
      </c>
      <c r="Z89" s="77" t="s">
        <v>15</v>
      </c>
    </row>
    <row r="90" spans="1:26">
      <c r="A90" s="72">
        <v>89</v>
      </c>
      <c r="B90" s="81" t="s">
        <v>364</v>
      </c>
      <c r="C90" s="74" t="s">
        <v>134</v>
      </c>
      <c r="D90" s="74" t="s">
        <v>141</v>
      </c>
      <c r="E90" s="74" t="s">
        <v>141</v>
      </c>
      <c r="F90" s="74" t="s">
        <v>141</v>
      </c>
      <c r="G90" s="74" t="s">
        <v>141</v>
      </c>
      <c r="H90" s="74" t="s">
        <v>141</v>
      </c>
      <c r="I90" s="75" t="s">
        <v>365</v>
      </c>
      <c r="J90" s="75" t="s">
        <v>365</v>
      </c>
      <c r="K90" s="75" t="s">
        <v>354</v>
      </c>
      <c r="L90" s="83" t="s">
        <v>355</v>
      </c>
      <c r="M90" s="73" t="s">
        <v>137</v>
      </c>
      <c r="N90" s="81"/>
      <c r="O90" s="77" t="s">
        <v>15</v>
      </c>
      <c r="P90" s="77" t="s">
        <v>15</v>
      </c>
      <c r="Q90" s="77" t="s">
        <v>15</v>
      </c>
      <c r="R90" s="77" t="s">
        <v>15</v>
      </c>
      <c r="S90" s="77" t="s">
        <v>15</v>
      </c>
      <c r="T90" s="77" t="s">
        <v>15</v>
      </c>
      <c r="U90" s="77" t="s">
        <v>15</v>
      </c>
      <c r="V90" s="77" t="s">
        <v>15</v>
      </c>
      <c r="W90" s="77" t="s">
        <v>15</v>
      </c>
      <c r="X90" s="77" t="s">
        <v>15</v>
      </c>
      <c r="Y90" s="77" t="s">
        <v>15</v>
      </c>
      <c r="Z90" s="78" t="s">
        <v>41</v>
      </c>
    </row>
    <row r="91" spans="1:26">
      <c r="A91" s="72">
        <v>90</v>
      </c>
      <c r="B91" s="81" t="s">
        <v>366</v>
      </c>
      <c r="C91" s="74" t="s">
        <v>134</v>
      </c>
      <c r="D91" s="74" t="s">
        <v>141</v>
      </c>
      <c r="E91" s="74" t="s">
        <v>141</v>
      </c>
      <c r="F91" s="74" t="s">
        <v>141</v>
      </c>
      <c r="G91" s="74" t="s">
        <v>141</v>
      </c>
      <c r="H91" s="74" t="s">
        <v>141</v>
      </c>
      <c r="I91" s="75" t="s">
        <v>367</v>
      </c>
      <c r="J91" s="75" t="s">
        <v>367</v>
      </c>
      <c r="K91" s="75" t="s">
        <v>354</v>
      </c>
      <c r="L91" s="83" t="s">
        <v>355</v>
      </c>
      <c r="M91" s="73" t="s">
        <v>137</v>
      </c>
      <c r="N91" s="81"/>
      <c r="O91" s="77" t="s">
        <v>15</v>
      </c>
      <c r="P91" s="77" t="s">
        <v>15</v>
      </c>
      <c r="Q91" s="77" t="s">
        <v>15</v>
      </c>
      <c r="R91" s="77" t="s">
        <v>15</v>
      </c>
      <c r="S91" s="77" t="s">
        <v>15</v>
      </c>
      <c r="T91" s="77" t="s">
        <v>15</v>
      </c>
      <c r="U91" s="77" t="s">
        <v>15</v>
      </c>
      <c r="V91" s="77" t="s">
        <v>15</v>
      </c>
      <c r="W91" s="77" t="s">
        <v>15</v>
      </c>
      <c r="X91" s="77" t="s">
        <v>15</v>
      </c>
      <c r="Y91" s="77" t="s">
        <v>15</v>
      </c>
      <c r="Z91" s="78" t="s">
        <v>41</v>
      </c>
    </row>
    <row r="92" spans="1:26">
      <c r="A92" s="72">
        <v>91</v>
      </c>
      <c r="B92" s="81" t="s">
        <v>368</v>
      </c>
      <c r="C92" s="74" t="s">
        <v>141</v>
      </c>
      <c r="D92" s="74" t="s">
        <v>141</v>
      </c>
      <c r="E92" s="74" t="s">
        <v>134</v>
      </c>
      <c r="F92" s="74" t="s">
        <v>141</v>
      </c>
      <c r="G92" s="74" t="s">
        <v>141</v>
      </c>
      <c r="H92" s="74" t="s">
        <v>141</v>
      </c>
      <c r="I92" s="75" t="s">
        <v>369</v>
      </c>
      <c r="J92" s="75" t="s">
        <v>369</v>
      </c>
      <c r="K92" s="75" t="s">
        <v>354</v>
      </c>
      <c r="L92" s="83" t="s">
        <v>355</v>
      </c>
      <c r="M92" s="73" t="s">
        <v>137</v>
      </c>
      <c r="N92" s="81"/>
      <c r="O92" s="77" t="s">
        <v>15</v>
      </c>
      <c r="P92" s="77" t="s">
        <v>15</v>
      </c>
      <c r="Q92" s="77" t="s">
        <v>15</v>
      </c>
      <c r="R92" s="77" t="s">
        <v>15</v>
      </c>
      <c r="S92" s="77" t="s">
        <v>15</v>
      </c>
      <c r="T92" s="77" t="s">
        <v>15</v>
      </c>
      <c r="U92" s="77" t="s">
        <v>15</v>
      </c>
      <c r="V92" s="77" t="s">
        <v>15</v>
      </c>
      <c r="W92" s="77" t="s">
        <v>15</v>
      </c>
      <c r="X92" s="78" t="s">
        <v>41</v>
      </c>
      <c r="Y92" s="77" t="s">
        <v>15</v>
      </c>
      <c r="Z92" s="77" t="s">
        <v>15</v>
      </c>
    </row>
    <row r="93" spans="1:26">
      <c r="A93" s="72">
        <v>92</v>
      </c>
      <c r="B93" s="81" t="s">
        <v>370</v>
      </c>
      <c r="C93" s="74" t="s">
        <v>141</v>
      </c>
      <c r="D93" s="74" t="s">
        <v>134</v>
      </c>
      <c r="E93" s="74" t="s">
        <v>141</v>
      </c>
      <c r="F93" s="74" t="s">
        <v>141</v>
      </c>
      <c r="G93" s="74" t="s">
        <v>141</v>
      </c>
      <c r="H93" s="74" t="s">
        <v>141</v>
      </c>
      <c r="I93" s="75" t="s">
        <v>371</v>
      </c>
      <c r="J93" s="75" t="s">
        <v>371</v>
      </c>
      <c r="K93" s="75" t="s">
        <v>40</v>
      </c>
      <c r="L93" s="83" t="s">
        <v>372</v>
      </c>
      <c r="M93" s="73" t="s">
        <v>137</v>
      </c>
      <c r="N93" s="81"/>
      <c r="O93" s="77" t="s">
        <v>15</v>
      </c>
      <c r="P93" s="77" t="s">
        <v>15</v>
      </c>
      <c r="Q93" s="77" t="s">
        <v>15</v>
      </c>
      <c r="R93" s="77" t="s">
        <v>15</v>
      </c>
      <c r="S93" s="77" t="s">
        <v>15</v>
      </c>
      <c r="T93" s="77" t="s">
        <v>15</v>
      </c>
      <c r="U93" s="77" t="s">
        <v>15</v>
      </c>
      <c r="V93" s="77" t="s">
        <v>15</v>
      </c>
      <c r="W93" s="77" t="s">
        <v>15</v>
      </c>
      <c r="X93" s="77" t="s">
        <v>15</v>
      </c>
      <c r="Y93" s="78" t="s">
        <v>41</v>
      </c>
      <c r="Z93" s="77" t="s">
        <v>15</v>
      </c>
    </row>
    <row r="94" spans="1:26">
      <c r="A94" s="72">
        <v>93</v>
      </c>
      <c r="B94" s="81" t="s">
        <v>373</v>
      </c>
      <c r="C94" s="74" t="s">
        <v>134</v>
      </c>
      <c r="D94" s="74" t="s">
        <v>141</v>
      </c>
      <c r="E94" s="74" t="s">
        <v>141</v>
      </c>
      <c r="F94" s="74" t="s">
        <v>141</v>
      </c>
      <c r="G94" s="74" t="s">
        <v>141</v>
      </c>
      <c r="H94" s="74" t="s">
        <v>141</v>
      </c>
      <c r="I94" s="75" t="s">
        <v>374</v>
      </c>
      <c r="J94" s="75" t="s">
        <v>374</v>
      </c>
      <c r="K94" s="75" t="s">
        <v>40</v>
      </c>
      <c r="L94" s="83" t="s">
        <v>372</v>
      </c>
      <c r="M94" s="73" t="s">
        <v>137</v>
      </c>
      <c r="N94" s="81"/>
      <c r="O94" s="77" t="s">
        <v>15</v>
      </c>
      <c r="P94" s="77" t="s">
        <v>15</v>
      </c>
      <c r="Q94" s="77" t="s">
        <v>15</v>
      </c>
      <c r="R94" s="77" t="s">
        <v>15</v>
      </c>
      <c r="S94" s="77" t="s">
        <v>15</v>
      </c>
      <c r="T94" s="77" t="s">
        <v>15</v>
      </c>
      <c r="U94" s="77" t="s">
        <v>15</v>
      </c>
      <c r="V94" s="77" t="s">
        <v>15</v>
      </c>
      <c r="W94" s="77" t="s">
        <v>15</v>
      </c>
      <c r="X94" s="77" t="s">
        <v>15</v>
      </c>
      <c r="Y94" s="77" t="s">
        <v>15</v>
      </c>
      <c r="Z94" s="78" t="s">
        <v>41</v>
      </c>
    </row>
    <row r="95" spans="1:26">
      <c r="A95" s="72">
        <v>94</v>
      </c>
      <c r="B95" s="81" t="s">
        <v>375</v>
      </c>
      <c r="C95" s="74" t="s">
        <v>141</v>
      </c>
      <c r="D95" s="74" t="s">
        <v>141</v>
      </c>
      <c r="E95" s="74" t="s">
        <v>134</v>
      </c>
      <c r="F95" s="74" t="s">
        <v>141</v>
      </c>
      <c r="G95" s="74" t="s">
        <v>141</v>
      </c>
      <c r="H95" s="74" t="s">
        <v>141</v>
      </c>
      <c r="I95" s="75" t="s">
        <v>376</v>
      </c>
      <c r="J95" s="75" t="s">
        <v>376</v>
      </c>
      <c r="K95" s="75" t="s">
        <v>40</v>
      </c>
      <c r="L95" s="83" t="s">
        <v>372</v>
      </c>
      <c r="M95" s="73" t="s">
        <v>137</v>
      </c>
      <c r="N95" s="81"/>
      <c r="O95" s="77" t="s">
        <v>15</v>
      </c>
      <c r="P95" s="77" t="s">
        <v>15</v>
      </c>
      <c r="Q95" s="77" t="s">
        <v>15</v>
      </c>
      <c r="R95" s="77" t="s">
        <v>15</v>
      </c>
      <c r="S95" s="77" t="s">
        <v>15</v>
      </c>
      <c r="T95" s="77" t="s">
        <v>15</v>
      </c>
      <c r="U95" s="77" t="s">
        <v>15</v>
      </c>
      <c r="V95" s="77" t="s">
        <v>15</v>
      </c>
      <c r="W95" s="77" t="s">
        <v>15</v>
      </c>
      <c r="X95" s="78" t="s">
        <v>41</v>
      </c>
      <c r="Y95" s="77" t="s">
        <v>15</v>
      </c>
      <c r="Z95" s="77" t="s">
        <v>15</v>
      </c>
    </row>
    <row r="96" spans="1:26">
      <c r="A96" s="72">
        <v>95</v>
      </c>
      <c r="B96" s="81" t="s">
        <v>377</v>
      </c>
      <c r="C96" s="74" t="s">
        <v>141</v>
      </c>
      <c r="D96" s="74" t="s">
        <v>141</v>
      </c>
      <c r="E96" s="74" t="s">
        <v>141</v>
      </c>
      <c r="F96" s="74" t="s">
        <v>141</v>
      </c>
      <c r="G96" s="74" t="s">
        <v>141</v>
      </c>
      <c r="H96" s="74" t="s">
        <v>134</v>
      </c>
      <c r="I96" s="75" t="s">
        <v>378</v>
      </c>
      <c r="J96" s="75" t="s">
        <v>378</v>
      </c>
      <c r="K96" s="75" t="s">
        <v>40</v>
      </c>
      <c r="L96" s="83" t="s">
        <v>379</v>
      </c>
      <c r="M96" s="73" t="s">
        <v>137</v>
      </c>
      <c r="N96" s="81"/>
      <c r="O96" s="77" t="s">
        <v>15</v>
      </c>
      <c r="P96" s="77" t="s">
        <v>15</v>
      </c>
      <c r="Q96" s="77" t="s">
        <v>15</v>
      </c>
      <c r="R96" s="77" t="s">
        <v>15</v>
      </c>
      <c r="S96" s="77" t="s">
        <v>15</v>
      </c>
      <c r="T96" s="77" t="s">
        <v>15</v>
      </c>
      <c r="U96" s="77" t="s">
        <v>15</v>
      </c>
      <c r="V96" s="77" t="s">
        <v>15</v>
      </c>
      <c r="W96" s="78" t="s">
        <v>41</v>
      </c>
      <c r="X96" s="77" t="s">
        <v>15</v>
      </c>
      <c r="Y96" s="77" t="s">
        <v>15</v>
      </c>
      <c r="Z96" s="77" t="s">
        <v>15</v>
      </c>
    </row>
    <row r="97" spans="1:26">
      <c r="A97" s="72">
        <v>96</v>
      </c>
      <c r="B97" s="81" t="s">
        <v>380</v>
      </c>
      <c r="C97" s="74" t="s">
        <v>141</v>
      </c>
      <c r="D97" s="74" t="s">
        <v>141</v>
      </c>
      <c r="E97" s="74" t="s">
        <v>141</v>
      </c>
      <c r="F97" s="74" t="s">
        <v>141</v>
      </c>
      <c r="G97" s="74" t="s">
        <v>141</v>
      </c>
      <c r="H97" s="74" t="s">
        <v>134</v>
      </c>
      <c r="I97" s="75" t="s">
        <v>381</v>
      </c>
      <c r="J97" s="75" t="s">
        <v>381</v>
      </c>
      <c r="K97" s="75" t="s">
        <v>40</v>
      </c>
      <c r="L97" s="83" t="s">
        <v>379</v>
      </c>
      <c r="M97" s="73" t="s">
        <v>137</v>
      </c>
      <c r="N97" s="81"/>
      <c r="O97" s="77" t="s">
        <v>15</v>
      </c>
      <c r="P97" s="77" t="s">
        <v>15</v>
      </c>
      <c r="Q97" s="77" t="s">
        <v>15</v>
      </c>
      <c r="R97" s="77" t="s">
        <v>15</v>
      </c>
      <c r="S97" s="77" t="s">
        <v>15</v>
      </c>
      <c r="T97" s="77" t="s">
        <v>15</v>
      </c>
      <c r="U97" s="77" t="s">
        <v>15</v>
      </c>
      <c r="V97" s="77" t="s">
        <v>15</v>
      </c>
      <c r="W97" s="78" t="s">
        <v>41</v>
      </c>
      <c r="X97" s="77" t="s">
        <v>15</v>
      </c>
      <c r="Y97" s="77" t="s">
        <v>15</v>
      </c>
      <c r="Z97" s="77" t="s">
        <v>15</v>
      </c>
    </row>
    <row r="98" spans="1:26">
      <c r="A98" s="72">
        <v>97</v>
      </c>
      <c r="B98" s="81" t="s">
        <v>382</v>
      </c>
      <c r="C98" s="74" t="s">
        <v>141</v>
      </c>
      <c r="D98" s="74" t="s">
        <v>141</v>
      </c>
      <c r="E98" s="74" t="s">
        <v>141</v>
      </c>
      <c r="F98" s="74" t="s">
        <v>141</v>
      </c>
      <c r="G98" s="74" t="s">
        <v>141</v>
      </c>
      <c r="H98" s="74" t="s">
        <v>134</v>
      </c>
      <c r="I98" s="75" t="s">
        <v>383</v>
      </c>
      <c r="J98" s="75" t="s">
        <v>383</v>
      </c>
      <c r="K98" s="75" t="s">
        <v>40</v>
      </c>
      <c r="L98" s="83" t="s">
        <v>379</v>
      </c>
      <c r="M98" s="73" t="s">
        <v>137</v>
      </c>
      <c r="N98" s="81"/>
      <c r="O98" s="77" t="s">
        <v>15</v>
      </c>
      <c r="P98" s="77" t="s">
        <v>15</v>
      </c>
      <c r="Q98" s="77" t="s">
        <v>15</v>
      </c>
      <c r="R98" s="77" t="s">
        <v>15</v>
      </c>
      <c r="S98" s="77" t="s">
        <v>15</v>
      </c>
      <c r="T98" s="77" t="s">
        <v>15</v>
      </c>
      <c r="U98" s="77" t="s">
        <v>15</v>
      </c>
      <c r="V98" s="77" t="s">
        <v>15</v>
      </c>
      <c r="W98" s="78" t="s">
        <v>41</v>
      </c>
      <c r="X98" s="77" t="s">
        <v>15</v>
      </c>
      <c r="Y98" s="77" t="s">
        <v>15</v>
      </c>
      <c r="Z98" s="77" t="s">
        <v>15</v>
      </c>
    </row>
    <row r="99" spans="1:26">
      <c r="A99" s="72">
        <v>98</v>
      </c>
      <c r="B99" s="81" t="s">
        <v>384</v>
      </c>
      <c r="C99" s="74" t="s">
        <v>141</v>
      </c>
      <c r="D99" s="74" t="s">
        <v>141</v>
      </c>
      <c r="E99" s="74" t="s">
        <v>141</v>
      </c>
      <c r="F99" s="74" t="s">
        <v>134</v>
      </c>
      <c r="G99" s="74" t="s">
        <v>141</v>
      </c>
      <c r="H99" s="74" t="s">
        <v>141</v>
      </c>
      <c r="I99" s="75" t="s">
        <v>385</v>
      </c>
      <c r="J99" s="75" t="s">
        <v>385</v>
      </c>
      <c r="K99" s="75" t="s">
        <v>40</v>
      </c>
      <c r="L99" s="84" t="s">
        <v>379</v>
      </c>
      <c r="M99" s="73" t="s">
        <v>137</v>
      </c>
      <c r="N99" s="81"/>
      <c r="O99" s="77" t="s">
        <v>15</v>
      </c>
      <c r="P99" s="77" t="s">
        <v>15</v>
      </c>
      <c r="Q99" s="77" t="s">
        <v>15</v>
      </c>
      <c r="R99" s="77" t="s">
        <v>15</v>
      </c>
      <c r="S99" s="77" t="s">
        <v>15</v>
      </c>
      <c r="T99" s="77" t="s">
        <v>15</v>
      </c>
      <c r="U99" s="78" t="s">
        <v>41</v>
      </c>
      <c r="V99" s="77" t="s">
        <v>15</v>
      </c>
      <c r="W99" s="77" t="s">
        <v>15</v>
      </c>
      <c r="X99" s="77" t="s">
        <v>15</v>
      </c>
      <c r="Y99" s="77" t="s">
        <v>15</v>
      </c>
      <c r="Z99" s="77" t="s">
        <v>15</v>
      </c>
    </row>
    <row r="100" spans="1:26">
      <c r="A100" s="72">
        <v>99</v>
      </c>
      <c r="B100" s="81" t="s">
        <v>386</v>
      </c>
      <c r="C100" s="74" t="s">
        <v>141</v>
      </c>
      <c r="D100" s="74" t="s">
        <v>141</v>
      </c>
      <c r="E100" s="74" t="s">
        <v>141</v>
      </c>
      <c r="F100" s="74" t="s">
        <v>141</v>
      </c>
      <c r="G100" s="74" t="s">
        <v>134</v>
      </c>
      <c r="H100" s="74" t="s">
        <v>141</v>
      </c>
      <c r="I100" s="75" t="s">
        <v>387</v>
      </c>
      <c r="J100" s="75" t="s">
        <v>387</v>
      </c>
      <c r="K100" s="75" t="s">
        <v>40</v>
      </c>
      <c r="L100" s="84" t="s">
        <v>379</v>
      </c>
      <c r="M100" s="73" t="s">
        <v>137</v>
      </c>
      <c r="N100" s="81"/>
      <c r="O100" s="77" t="s">
        <v>15</v>
      </c>
      <c r="P100" s="77" t="s">
        <v>15</v>
      </c>
      <c r="Q100" s="77" t="s">
        <v>15</v>
      </c>
      <c r="R100" s="77" t="s">
        <v>15</v>
      </c>
      <c r="S100" s="77" t="s">
        <v>15</v>
      </c>
      <c r="T100" s="77" t="s">
        <v>15</v>
      </c>
      <c r="U100" s="77" t="s">
        <v>15</v>
      </c>
      <c r="V100" s="78" t="s">
        <v>41</v>
      </c>
      <c r="W100" s="77" t="s">
        <v>15</v>
      </c>
      <c r="X100" s="77" t="s">
        <v>15</v>
      </c>
      <c r="Y100" s="77" t="s">
        <v>15</v>
      </c>
      <c r="Z100" s="77" t="s">
        <v>15</v>
      </c>
    </row>
    <row r="101" spans="1:26">
      <c r="A101" s="72">
        <v>100</v>
      </c>
      <c r="B101" s="81" t="s">
        <v>388</v>
      </c>
      <c r="C101" s="74" t="s">
        <v>141</v>
      </c>
      <c r="D101" s="74" t="s">
        <v>141</v>
      </c>
      <c r="E101" s="74" t="s">
        <v>141</v>
      </c>
      <c r="F101" s="74" t="s">
        <v>134</v>
      </c>
      <c r="G101" s="74" t="s">
        <v>141</v>
      </c>
      <c r="H101" s="74" t="s">
        <v>141</v>
      </c>
      <c r="I101" s="75" t="s">
        <v>389</v>
      </c>
      <c r="J101" s="75" t="s">
        <v>389</v>
      </c>
      <c r="K101" s="75" t="s">
        <v>40</v>
      </c>
      <c r="L101" s="83" t="s">
        <v>379</v>
      </c>
      <c r="M101" s="73" t="s">
        <v>137</v>
      </c>
      <c r="N101" s="81"/>
      <c r="O101" s="77" t="s">
        <v>15</v>
      </c>
      <c r="P101" s="77" t="s">
        <v>15</v>
      </c>
      <c r="Q101" s="77" t="s">
        <v>15</v>
      </c>
      <c r="R101" s="77" t="s">
        <v>15</v>
      </c>
      <c r="S101" s="77" t="s">
        <v>15</v>
      </c>
      <c r="T101" s="77" t="s">
        <v>15</v>
      </c>
      <c r="U101" s="78" t="s">
        <v>41</v>
      </c>
      <c r="V101" s="77" t="s">
        <v>15</v>
      </c>
      <c r="W101" s="77" t="s">
        <v>15</v>
      </c>
      <c r="X101" s="77" t="s">
        <v>15</v>
      </c>
      <c r="Y101" s="77" t="s">
        <v>15</v>
      </c>
      <c r="Z101" s="77" t="s">
        <v>15</v>
      </c>
    </row>
    <row r="102" spans="1:26">
      <c r="A102" s="72">
        <v>101</v>
      </c>
      <c r="B102" s="81" t="s">
        <v>390</v>
      </c>
      <c r="C102" s="74" t="s">
        <v>141</v>
      </c>
      <c r="D102" s="74" t="s">
        <v>141</v>
      </c>
      <c r="E102" s="74" t="s">
        <v>141</v>
      </c>
      <c r="F102" s="74" t="s">
        <v>141</v>
      </c>
      <c r="G102" s="74" t="s">
        <v>134</v>
      </c>
      <c r="H102" s="74" t="s">
        <v>141</v>
      </c>
      <c r="I102" s="75" t="s">
        <v>391</v>
      </c>
      <c r="J102" s="75" t="s">
        <v>391</v>
      </c>
      <c r="K102" s="75" t="s">
        <v>40</v>
      </c>
      <c r="L102" s="83" t="s">
        <v>379</v>
      </c>
      <c r="M102" s="73" t="s">
        <v>137</v>
      </c>
      <c r="N102" s="81"/>
      <c r="O102" s="77" t="s">
        <v>15</v>
      </c>
      <c r="P102" s="77" t="s">
        <v>15</v>
      </c>
      <c r="Q102" s="77" t="s">
        <v>15</v>
      </c>
      <c r="R102" s="77" t="s">
        <v>15</v>
      </c>
      <c r="S102" s="77" t="s">
        <v>15</v>
      </c>
      <c r="T102" s="77" t="s">
        <v>15</v>
      </c>
      <c r="U102" s="77" t="s">
        <v>15</v>
      </c>
      <c r="V102" s="78" t="s">
        <v>41</v>
      </c>
      <c r="W102" s="77" t="s">
        <v>15</v>
      </c>
      <c r="X102" s="77" t="s">
        <v>15</v>
      </c>
      <c r="Y102" s="77" t="s">
        <v>15</v>
      </c>
      <c r="Z102" s="77" t="s">
        <v>15</v>
      </c>
    </row>
    <row r="103" spans="1:26">
      <c r="A103" s="72">
        <v>102</v>
      </c>
      <c r="B103" s="81" t="s">
        <v>392</v>
      </c>
      <c r="C103" s="74" t="s">
        <v>141</v>
      </c>
      <c r="D103" s="74" t="s">
        <v>141</v>
      </c>
      <c r="E103" s="74" t="s">
        <v>141</v>
      </c>
      <c r="F103" s="74" t="s">
        <v>141</v>
      </c>
      <c r="G103" s="74" t="s">
        <v>141</v>
      </c>
      <c r="H103" s="74" t="s">
        <v>134</v>
      </c>
      <c r="I103" s="75" t="s">
        <v>393</v>
      </c>
      <c r="J103" s="75" t="s">
        <v>393</v>
      </c>
      <c r="K103" s="75" t="s">
        <v>394</v>
      </c>
      <c r="L103" s="83" t="s">
        <v>395</v>
      </c>
      <c r="M103" s="83" t="s">
        <v>137</v>
      </c>
      <c r="N103" s="81"/>
      <c r="O103" s="77" t="s">
        <v>15</v>
      </c>
      <c r="P103" s="77" t="s">
        <v>15</v>
      </c>
      <c r="Q103" s="77" t="s">
        <v>15</v>
      </c>
      <c r="R103" s="77" t="s">
        <v>15</v>
      </c>
      <c r="S103" s="77" t="s">
        <v>15</v>
      </c>
      <c r="T103" s="77" t="s">
        <v>15</v>
      </c>
      <c r="U103" s="77" t="s">
        <v>15</v>
      </c>
      <c r="V103" s="77" t="s">
        <v>15</v>
      </c>
      <c r="W103" s="78" t="s">
        <v>41</v>
      </c>
      <c r="X103" s="77" t="s">
        <v>15</v>
      </c>
      <c r="Y103" s="77" t="s">
        <v>15</v>
      </c>
      <c r="Z103" s="77" t="s">
        <v>15</v>
      </c>
    </row>
    <row r="104" spans="1:26">
      <c r="A104" s="72">
        <v>103</v>
      </c>
      <c r="B104" s="81" t="s">
        <v>396</v>
      </c>
      <c r="C104" s="74" t="s">
        <v>141</v>
      </c>
      <c r="D104" s="74" t="s">
        <v>141</v>
      </c>
      <c r="E104" s="74" t="s">
        <v>141</v>
      </c>
      <c r="F104" s="74" t="s">
        <v>141</v>
      </c>
      <c r="G104" s="74" t="s">
        <v>134</v>
      </c>
      <c r="H104" s="74" t="s">
        <v>141</v>
      </c>
      <c r="I104" s="75" t="s">
        <v>397</v>
      </c>
      <c r="J104" s="75" t="s">
        <v>397</v>
      </c>
      <c r="K104" s="75" t="s">
        <v>394</v>
      </c>
      <c r="L104" s="83" t="s">
        <v>395</v>
      </c>
      <c r="M104" s="83" t="s">
        <v>137</v>
      </c>
      <c r="N104" s="81"/>
      <c r="O104" s="77" t="s">
        <v>15</v>
      </c>
      <c r="P104" s="77" t="s">
        <v>15</v>
      </c>
      <c r="Q104" s="77" t="s">
        <v>15</v>
      </c>
      <c r="R104" s="77" t="s">
        <v>15</v>
      </c>
      <c r="S104" s="77" t="s">
        <v>15</v>
      </c>
      <c r="T104" s="77" t="s">
        <v>15</v>
      </c>
      <c r="U104" s="77" t="s">
        <v>15</v>
      </c>
      <c r="V104" s="78" t="s">
        <v>41</v>
      </c>
      <c r="W104" s="77" t="s">
        <v>15</v>
      </c>
      <c r="X104" s="77" t="s">
        <v>15</v>
      </c>
      <c r="Y104" s="77" t="s">
        <v>15</v>
      </c>
      <c r="Z104" s="77" t="s">
        <v>15</v>
      </c>
    </row>
    <row r="105" spans="1:26">
      <c r="A105" s="72">
        <v>104</v>
      </c>
      <c r="B105" s="81" t="s">
        <v>398</v>
      </c>
      <c r="C105" s="74" t="s">
        <v>141</v>
      </c>
      <c r="D105" s="74" t="s">
        <v>141</v>
      </c>
      <c r="E105" s="74" t="s">
        <v>141</v>
      </c>
      <c r="F105" s="74" t="s">
        <v>141</v>
      </c>
      <c r="G105" s="74" t="s">
        <v>141</v>
      </c>
      <c r="H105" s="74" t="s">
        <v>134</v>
      </c>
      <c r="I105" s="75" t="s">
        <v>399</v>
      </c>
      <c r="J105" s="75" t="s">
        <v>399</v>
      </c>
      <c r="K105" s="75" t="s">
        <v>394</v>
      </c>
      <c r="L105" s="83" t="s">
        <v>395</v>
      </c>
      <c r="M105" s="83" t="s">
        <v>137</v>
      </c>
      <c r="N105" s="81"/>
      <c r="O105" s="77" t="s">
        <v>15</v>
      </c>
      <c r="P105" s="77" t="s">
        <v>15</v>
      </c>
      <c r="Q105" s="77" t="s">
        <v>15</v>
      </c>
      <c r="R105" s="77" t="s">
        <v>15</v>
      </c>
      <c r="S105" s="77" t="s">
        <v>15</v>
      </c>
      <c r="T105" s="77" t="s">
        <v>15</v>
      </c>
      <c r="U105" s="77" t="s">
        <v>15</v>
      </c>
      <c r="V105" s="77" t="s">
        <v>15</v>
      </c>
      <c r="W105" s="78" t="s">
        <v>41</v>
      </c>
      <c r="X105" s="77" t="s">
        <v>15</v>
      </c>
      <c r="Y105" s="77" t="s">
        <v>15</v>
      </c>
      <c r="Z105" s="77" t="s">
        <v>15</v>
      </c>
    </row>
    <row r="106" spans="1:26">
      <c r="A106" s="72">
        <v>105</v>
      </c>
      <c r="B106" s="81" t="s">
        <v>400</v>
      </c>
      <c r="C106" s="74" t="s">
        <v>141</v>
      </c>
      <c r="D106" s="74" t="s">
        <v>141</v>
      </c>
      <c r="E106" s="74" t="s">
        <v>141</v>
      </c>
      <c r="F106" s="74" t="s">
        <v>134</v>
      </c>
      <c r="G106" s="74" t="s">
        <v>141</v>
      </c>
      <c r="H106" s="74" t="s">
        <v>141</v>
      </c>
      <c r="I106" s="75" t="s">
        <v>401</v>
      </c>
      <c r="J106" s="75" t="s">
        <v>401</v>
      </c>
      <c r="K106" s="75" t="s">
        <v>394</v>
      </c>
      <c r="L106" s="83" t="s">
        <v>395</v>
      </c>
      <c r="M106" s="83" t="s">
        <v>137</v>
      </c>
      <c r="N106" s="81"/>
      <c r="O106" s="77" t="s">
        <v>15</v>
      </c>
      <c r="P106" s="77" t="s">
        <v>15</v>
      </c>
      <c r="Q106" s="77" t="s">
        <v>15</v>
      </c>
      <c r="R106" s="77" t="s">
        <v>15</v>
      </c>
      <c r="S106" s="77" t="s">
        <v>15</v>
      </c>
      <c r="T106" s="77" t="s">
        <v>15</v>
      </c>
      <c r="U106" s="78" t="s">
        <v>41</v>
      </c>
      <c r="V106" s="77" t="s">
        <v>15</v>
      </c>
      <c r="W106" s="77" t="s">
        <v>15</v>
      </c>
      <c r="X106" s="77" t="s">
        <v>15</v>
      </c>
      <c r="Y106" s="77" t="s">
        <v>15</v>
      </c>
      <c r="Z106" s="77" t="s">
        <v>15</v>
      </c>
    </row>
    <row r="107" spans="1:26">
      <c r="A107" s="72">
        <v>106</v>
      </c>
      <c r="B107" s="81" t="s">
        <v>402</v>
      </c>
      <c r="C107" s="74" t="s">
        <v>141</v>
      </c>
      <c r="D107" s="74" t="s">
        <v>134</v>
      </c>
      <c r="E107" s="74" t="s">
        <v>141</v>
      </c>
      <c r="F107" s="74" t="s">
        <v>141</v>
      </c>
      <c r="G107" s="74" t="s">
        <v>141</v>
      </c>
      <c r="H107" s="74" t="s">
        <v>141</v>
      </c>
      <c r="I107" s="75" t="s">
        <v>403</v>
      </c>
      <c r="J107" s="75" t="s">
        <v>403</v>
      </c>
      <c r="K107" s="75" t="s">
        <v>394</v>
      </c>
      <c r="L107" s="83" t="s">
        <v>395</v>
      </c>
      <c r="M107" s="83" t="s">
        <v>137</v>
      </c>
      <c r="N107" s="81"/>
      <c r="O107" s="77" t="s">
        <v>15</v>
      </c>
      <c r="P107" s="77" t="s">
        <v>15</v>
      </c>
      <c r="Q107" s="77" t="s">
        <v>15</v>
      </c>
      <c r="R107" s="77" t="s">
        <v>15</v>
      </c>
      <c r="S107" s="77" t="s">
        <v>15</v>
      </c>
      <c r="T107" s="77" t="s">
        <v>15</v>
      </c>
      <c r="U107" s="77" t="s">
        <v>15</v>
      </c>
      <c r="V107" s="77" t="s">
        <v>15</v>
      </c>
      <c r="W107" s="77" t="s">
        <v>15</v>
      </c>
      <c r="X107" s="77" t="s">
        <v>15</v>
      </c>
      <c r="Y107" s="78" t="s">
        <v>41</v>
      </c>
      <c r="Z107" s="77" t="s">
        <v>15</v>
      </c>
    </row>
    <row r="108" spans="1:26">
      <c r="A108" s="72">
        <v>107</v>
      </c>
      <c r="B108" s="81" t="s">
        <v>404</v>
      </c>
      <c r="C108" s="74" t="s">
        <v>134</v>
      </c>
      <c r="D108" s="74" t="s">
        <v>141</v>
      </c>
      <c r="E108" s="74" t="s">
        <v>141</v>
      </c>
      <c r="F108" s="74" t="s">
        <v>141</v>
      </c>
      <c r="G108" s="74" t="s">
        <v>141</v>
      </c>
      <c r="H108" s="74" t="s">
        <v>141</v>
      </c>
      <c r="I108" s="75" t="s">
        <v>405</v>
      </c>
      <c r="J108" s="75" t="s">
        <v>405</v>
      </c>
      <c r="K108" s="75" t="s">
        <v>394</v>
      </c>
      <c r="L108" s="83" t="s">
        <v>395</v>
      </c>
      <c r="M108" s="83" t="s">
        <v>137</v>
      </c>
      <c r="N108" s="81"/>
      <c r="O108" s="77" t="s">
        <v>15</v>
      </c>
      <c r="P108" s="77" t="s">
        <v>15</v>
      </c>
      <c r="Q108" s="77" t="s">
        <v>15</v>
      </c>
      <c r="R108" s="77" t="s">
        <v>15</v>
      </c>
      <c r="S108" s="77" t="s">
        <v>15</v>
      </c>
      <c r="T108" s="77" t="s">
        <v>15</v>
      </c>
      <c r="U108" s="77" t="s">
        <v>15</v>
      </c>
      <c r="V108" s="77" t="s">
        <v>15</v>
      </c>
      <c r="W108" s="77" t="s">
        <v>15</v>
      </c>
      <c r="X108" s="77" t="s">
        <v>15</v>
      </c>
      <c r="Y108" s="77" t="s">
        <v>15</v>
      </c>
      <c r="Z108" s="78" t="s">
        <v>41</v>
      </c>
    </row>
    <row r="109" spans="1:26">
      <c r="A109" s="72">
        <v>108</v>
      </c>
      <c r="B109" s="81" t="s">
        <v>406</v>
      </c>
      <c r="C109" s="74" t="s">
        <v>141</v>
      </c>
      <c r="D109" s="74" t="s">
        <v>141</v>
      </c>
      <c r="E109" s="74" t="s">
        <v>134</v>
      </c>
      <c r="F109" s="74" t="s">
        <v>141</v>
      </c>
      <c r="G109" s="74" t="s">
        <v>141</v>
      </c>
      <c r="H109" s="74" t="s">
        <v>141</v>
      </c>
      <c r="I109" s="75" t="s">
        <v>407</v>
      </c>
      <c r="J109" s="75" t="s">
        <v>407</v>
      </c>
      <c r="K109" s="75" t="s">
        <v>394</v>
      </c>
      <c r="L109" s="83" t="s">
        <v>395</v>
      </c>
      <c r="M109" s="83" t="s">
        <v>137</v>
      </c>
      <c r="N109" s="81"/>
      <c r="O109" s="77" t="s">
        <v>15</v>
      </c>
      <c r="P109" s="77" t="s">
        <v>15</v>
      </c>
      <c r="Q109" s="77" t="s">
        <v>15</v>
      </c>
      <c r="R109" s="77" t="s">
        <v>15</v>
      </c>
      <c r="S109" s="77" t="s">
        <v>15</v>
      </c>
      <c r="T109" s="77" t="s">
        <v>15</v>
      </c>
      <c r="U109" s="77" t="s">
        <v>15</v>
      </c>
      <c r="V109" s="77" t="s">
        <v>15</v>
      </c>
      <c r="W109" s="77" t="s">
        <v>15</v>
      </c>
      <c r="X109" s="78" t="s">
        <v>41</v>
      </c>
      <c r="Y109" s="77" t="s">
        <v>15</v>
      </c>
      <c r="Z109" s="77" t="s">
        <v>15</v>
      </c>
    </row>
    <row r="110" spans="1:26">
      <c r="A110" s="72">
        <v>109</v>
      </c>
      <c r="B110" s="81" t="s">
        <v>408</v>
      </c>
      <c r="C110" s="74" t="s">
        <v>141</v>
      </c>
      <c r="D110" s="74" t="s">
        <v>141</v>
      </c>
      <c r="E110" s="74" t="s">
        <v>141</v>
      </c>
      <c r="F110" s="74" t="s">
        <v>141</v>
      </c>
      <c r="G110" s="74" t="s">
        <v>141</v>
      </c>
      <c r="H110" s="74" t="s">
        <v>134</v>
      </c>
      <c r="I110" s="75" t="s">
        <v>409</v>
      </c>
      <c r="J110" s="75" t="s">
        <v>409</v>
      </c>
      <c r="K110" s="75" t="s">
        <v>40</v>
      </c>
      <c r="L110" s="83" t="s">
        <v>410</v>
      </c>
      <c r="M110" s="83" t="s">
        <v>137</v>
      </c>
      <c r="N110" s="81"/>
      <c r="O110" s="77" t="s">
        <v>15</v>
      </c>
      <c r="P110" s="77" t="s">
        <v>15</v>
      </c>
      <c r="Q110" s="77" t="s">
        <v>15</v>
      </c>
      <c r="R110" s="77" t="s">
        <v>15</v>
      </c>
      <c r="S110" s="77" t="s">
        <v>15</v>
      </c>
      <c r="T110" s="77" t="s">
        <v>15</v>
      </c>
      <c r="U110" s="77" t="s">
        <v>15</v>
      </c>
      <c r="V110" s="77" t="s">
        <v>15</v>
      </c>
      <c r="W110" s="78" t="s">
        <v>41</v>
      </c>
      <c r="X110" s="77" t="s">
        <v>15</v>
      </c>
      <c r="Y110" s="77" t="s">
        <v>15</v>
      </c>
      <c r="Z110" s="77" t="s">
        <v>15</v>
      </c>
    </row>
    <row r="111" spans="1:26">
      <c r="A111" s="72">
        <v>110</v>
      </c>
      <c r="B111" s="81" t="s">
        <v>411</v>
      </c>
      <c r="C111" s="74" t="s">
        <v>141</v>
      </c>
      <c r="D111" s="74" t="s">
        <v>141</v>
      </c>
      <c r="E111" s="74" t="s">
        <v>141</v>
      </c>
      <c r="F111" s="74" t="s">
        <v>141</v>
      </c>
      <c r="G111" s="74" t="s">
        <v>141</v>
      </c>
      <c r="H111" s="74" t="s">
        <v>134</v>
      </c>
      <c r="I111" s="75" t="s">
        <v>412</v>
      </c>
      <c r="J111" s="75" t="s">
        <v>412</v>
      </c>
      <c r="K111" s="75" t="s">
        <v>40</v>
      </c>
      <c r="L111" s="83" t="s">
        <v>410</v>
      </c>
      <c r="M111" s="83" t="s">
        <v>137</v>
      </c>
      <c r="N111" s="81"/>
      <c r="O111" s="77" t="s">
        <v>15</v>
      </c>
      <c r="P111" s="77" t="s">
        <v>15</v>
      </c>
      <c r="Q111" s="77" t="s">
        <v>15</v>
      </c>
      <c r="R111" s="77" t="s">
        <v>15</v>
      </c>
      <c r="S111" s="77" t="s">
        <v>15</v>
      </c>
      <c r="T111" s="77" t="s">
        <v>15</v>
      </c>
      <c r="U111" s="77" t="s">
        <v>15</v>
      </c>
      <c r="V111" s="77" t="s">
        <v>15</v>
      </c>
      <c r="W111" s="78" t="s">
        <v>41</v>
      </c>
      <c r="X111" s="77" t="s">
        <v>15</v>
      </c>
      <c r="Y111" s="77" t="s">
        <v>15</v>
      </c>
      <c r="Z111" s="77" t="s">
        <v>15</v>
      </c>
    </row>
    <row r="112" spans="1:26">
      <c r="A112" s="72">
        <v>111</v>
      </c>
      <c r="B112" s="81" t="s">
        <v>413</v>
      </c>
      <c r="C112" s="74" t="s">
        <v>141</v>
      </c>
      <c r="D112" s="74" t="s">
        <v>141</v>
      </c>
      <c r="E112" s="74" t="s">
        <v>141</v>
      </c>
      <c r="F112" s="74" t="s">
        <v>134</v>
      </c>
      <c r="G112" s="74" t="s">
        <v>141</v>
      </c>
      <c r="H112" s="74" t="s">
        <v>141</v>
      </c>
      <c r="I112" s="75" t="s">
        <v>414</v>
      </c>
      <c r="J112" s="75" t="s">
        <v>414</v>
      </c>
      <c r="K112" s="75" t="s">
        <v>40</v>
      </c>
      <c r="L112" s="83" t="s">
        <v>410</v>
      </c>
      <c r="M112" s="83" t="s">
        <v>137</v>
      </c>
      <c r="N112" s="81"/>
      <c r="O112" s="77" t="s">
        <v>15</v>
      </c>
      <c r="P112" s="77" t="s">
        <v>15</v>
      </c>
      <c r="Q112" s="77" t="s">
        <v>15</v>
      </c>
      <c r="R112" s="77" t="s">
        <v>15</v>
      </c>
      <c r="S112" s="77" t="s">
        <v>15</v>
      </c>
      <c r="T112" s="77" t="s">
        <v>15</v>
      </c>
      <c r="U112" s="78" t="s">
        <v>41</v>
      </c>
      <c r="V112" s="77" t="s">
        <v>15</v>
      </c>
      <c r="W112" s="77" t="s">
        <v>15</v>
      </c>
      <c r="X112" s="77" t="s">
        <v>15</v>
      </c>
      <c r="Y112" s="77" t="s">
        <v>15</v>
      </c>
      <c r="Z112" s="77" t="s">
        <v>15</v>
      </c>
    </row>
    <row r="113" spans="1:26">
      <c r="A113" s="72">
        <v>112</v>
      </c>
      <c r="B113" s="81" t="s">
        <v>415</v>
      </c>
      <c r="C113" s="74" t="s">
        <v>141</v>
      </c>
      <c r="D113" s="74" t="s">
        <v>141</v>
      </c>
      <c r="E113" s="74" t="s">
        <v>141</v>
      </c>
      <c r="F113" s="74" t="s">
        <v>141</v>
      </c>
      <c r="G113" s="74" t="s">
        <v>134</v>
      </c>
      <c r="H113" s="74" t="s">
        <v>141</v>
      </c>
      <c r="I113" s="75" t="s">
        <v>416</v>
      </c>
      <c r="J113" s="75" t="s">
        <v>416</v>
      </c>
      <c r="K113" s="75" t="s">
        <v>40</v>
      </c>
      <c r="L113" s="83" t="s">
        <v>410</v>
      </c>
      <c r="M113" s="83" t="s">
        <v>137</v>
      </c>
      <c r="N113" s="81"/>
      <c r="O113" s="77" t="s">
        <v>15</v>
      </c>
      <c r="P113" s="77" t="s">
        <v>15</v>
      </c>
      <c r="Q113" s="77" t="s">
        <v>15</v>
      </c>
      <c r="R113" s="77" t="s">
        <v>15</v>
      </c>
      <c r="S113" s="77" t="s">
        <v>15</v>
      </c>
      <c r="T113" s="77" t="s">
        <v>15</v>
      </c>
      <c r="U113" s="77" t="s">
        <v>15</v>
      </c>
      <c r="V113" s="78" t="s">
        <v>41</v>
      </c>
      <c r="W113" s="77" t="s">
        <v>15</v>
      </c>
      <c r="X113" s="77" t="s">
        <v>15</v>
      </c>
      <c r="Y113" s="77" t="s">
        <v>15</v>
      </c>
      <c r="Z113" s="77" t="s">
        <v>15</v>
      </c>
    </row>
    <row r="114" spans="1:26">
      <c r="A114" s="72">
        <v>113</v>
      </c>
      <c r="B114" s="81" t="s">
        <v>417</v>
      </c>
      <c r="C114" s="85" t="s">
        <v>141</v>
      </c>
      <c r="D114" s="85" t="s">
        <v>141</v>
      </c>
      <c r="E114" s="85" t="s">
        <v>141</v>
      </c>
      <c r="F114" s="74" t="s">
        <v>141</v>
      </c>
      <c r="G114" s="74" t="s">
        <v>141</v>
      </c>
      <c r="H114" s="74" t="s">
        <v>134</v>
      </c>
      <c r="I114" s="75" t="s">
        <v>418</v>
      </c>
      <c r="J114" s="75" t="s">
        <v>419</v>
      </c>
      <c r="K114" s="75" t="s">
        <v>341</v>
      </c>
      <c r="L114" s="84" t="s">
        <v>410</v>
      </c>
      <c r="M114" s="83" t="s">
        <v>137</v>
      </c>
      <c r="N114" s="81"/>
      <c r="O114" s="77" t="s">
        <v>15</v>
      </c>
      <c r="P114" s="77" t="s">
        <v>15</v>
      </c>
      <c r="Q114" s="77" t="s">
        <v>15</v>
      </c>
      <c r="R114" s="77" t="s">
        <v>15</v>
      </c>
      <c r="S114" s="77" t="s">
        <v>15</v>
      </c>
      <c r="T114" s="77" t="s">
        <v>15</v>
      </c>
      <c r="U114" s="77" t="s">
        <v>15</v>
      </c>
      <c r="V114" s="77" t="s">
        <v>15</v>
      </c>
      <c r="W114" s="78" t="s">
        <v>41</v>
      </c>
      <c r="X114" s="77" t="s">
        <v>15</v>
      </c>
      <c r="Y114" s="77" t="s">
        <v>15</v>
      </c>
      <c r="Z114" s="77" t="s">
        <v>15</v>
      </c>
    </row>
    <row r="115" spans="1:26">
      <c r="A115" s="72">
        <v>114</v>
      </c>
      <c r="B115" s="81" t="s">
        <v>420</v>
      </c>
      <c r="C115" s="85" t="s">
        <v>141</v>
      </c>
      <c r="D115" s="85" t="s">
        <v>141</v>
      </c>
      <c r="E115" s="85" t="s">
        <v>141</v>
      </c>
      <c r="F115" s="74" t="s">
        <v>141</v>
      </c>
      <c r="G115" s="74" t="s">
        <v>141</v>
      </c>
      <c r="H115" s="74" t="s">
        <v>134</v>
      </c>
      <c r="I115" s="75" t="s">
        <v>421</v>
      </c>
      <c r="J115" s="75" t="s">
        <v>422</v>
      </c>
      <c r="K115" s="75" t="s">
        <v>341</v>
      </c>
      <c r="L115" s="84" t="s">
        <v>410</v>
      </c>
      <c r="M115" s="83" t="s">
        <v>137</v>
      </c>
      <c r="N115" s="81"/>
      <c r="O115" s="77" t="s">
        <v>15</v>
      </c>
      <c r="P115" s="77" t="s">
        <v>15</v>
      </c>
      <c r="Q115" s="77" t="s">
        <v>15</v>
      </c>
      <c r="R115" s="77" t="s">
        <v>15</v>
      </c>
      <c r="S115" s="77" t="s">
        <v>15</v>
      </c>
      <c r="T115" s="77" t="s">
        <v>15</v>
      </c>
      <c r="U115" s="77" t="s">
        <v>15</v>
      </c>
      <c r="V115" s="77" t="s">
        <v>15</v>
      </c>
      <c r="W115" s="78" t="s">
        <v>41</v>
      </c>
      <c r="X115" s="77" t="s">
        <v>15</v>
      </c>
      <c r="Y115" s="77" t="s">
        <v>15</v>
      </c>
      <c r="Z115" s="77" t="s">
        <v>15</v>
      </c>
    </row>
    <row r="116" spans="1:26">
      <c r="A116" s="72">
        <v>115</v>
      </c>
      <c r="B116" s="81" t="s">
        <v>423</v>
      </c>
      <c r="C116" s="85" t="s">
        <v>141</v>
      </c>
      <c r="D116" s="85" t="s">
        <v>141</v>
      </c>
      <c r="E116" s="85" t="s">
        <v>141</v>
      </c>
      <c r="F116" s="74" t="s">
        <v>141</v>
      </c>
      <c r="G116" s="74" t="s">
        <v>141</v>
      </c>
      <c r="H116" s="74" t="s">
        <v>134</v>
      </c>
      <c r="I116" s="75" t="s">
        <v>424</v>
      </c>
      <c r="J116" s="75" t="s">
        <v>425</v>
      </c>
      <c r="K116" s="75" t="s">
        <v>341</v>
      </c>
      <c r="L116" s="84" t="s">
        <v>410</v>
      </c>
      <c r="M116" s="83" t="s">
        <v>137</v>
      </c>
      <c r="N116" s="81"/>
      <c r="O116" s="77" t="s">
        <v>15</v>
      </c>
      <c r="P116" s="77" t="s">
        <v>15</v>
      </c>
      <c r="Q116" s="77" t="s">
        <v>15</v>
      </c>
      <c r="R116" s="77" t="s">
        <v>15</v>
      </c>
      <c r="S116" s="77" t="s">
        <v>15</v>
      </c>
      <c r="T116" s="77" t="s">
        <v>15</v>
      </c>
      <c r="U116" s="77" t="s">
        <v>15</v>
      </c>
      <c r="V116" s="77" t="s">
        <v>15</v>
      </c>
      <c r="W116" s="78" t="s">
        <v>41</v>
      </c>
      <c r="X116" s="77" t="s">
        <v>15</v>
      </c>
      <c r="Y116" s="77" t="s">
        <v>15</v>
      </c>
      <c r="Z116" s="77" t="s">
        <v>15</v>
      </c>
    </row>
    <row r="117" spans="1:26">
      <c r="A117" s="72">
        <v>116</v>
      </c>
      <c r="B117" s="81" t="s">
        <v>426</v>
      </c>
      <c r="C117" s="85" t="s">
        <v>141</v>
      </c>
      <c r="D117" s="85" t="s">
        <v>141</v>
      </c>
      <c r="E117" s="85" t="s">
        <v>141</v>
      </c>
      <c r="F117" s="74" t="s">
        <v>141</v>
      </c>
      <c r="G117" s="74" t="s">
        <v>141</v>
      </c>
      <c r="H117" s="74" t="s">
        <v>134</v>
      </c>
      <c r="I117" s="75" t="s">
        <v>427</v>
      </c>
      <c r="J117" s="75" t="s">
        <v>428</v>
      </c>
      <c r="K117" s="75" t="s">
        <v>341</v>
      </c>
      <c r="L117" s="84" t="s">
        <v>410</v>
      </c>
      <c r="M117" s="83" t="s">
        <v>137</v>
      </c>
      <c r="N117" s="81"/>
      <c r="O117" s="77" t="s">
        <v>15</v>
      </c>
      <c r="P117" s="77" t="s">
        <v>15</v>
      </c>
      <c r="Q117" s="77" t="s">
        <v>15</v>
      </c>
      <c r="R117" s="77" t="s">
        <v>15</v>
      </c>
      <c r="S117" s="77" t="s">
        <v>15</v>
      </c>
      <c r="T117" s="77" t="s">
        <v>15</v>
      </c>
      <c r="U117" s="77" t="s">
        <v>15</v>
      </c>
      <c r="V117" s="77" t="s">
        <v>15</v>
      </c>
      <c r="W117" s="78" t="s">
        <v>41</v>
      </c>
      <c r="X117" s="77" t="s">
        <v>15</v>
      </c>
      <c r="Y117" s="77" t="s">
        <v>15</v>
      </c>
      <c r="Z117" s="77" t="s">
        <v>15</v>
      </c>
    </row>
    <row r="118" spans="1:26">
      <c r="A118" s="72">
        <v>117</v>
      </c>
      <c r="B118" s="81" t="s">
        <v>429</v>
      </c>
      <c r="C118" s="85" t="s">
        <v>141</v>
      </c>
      <c r="D118" s="85" t="s">
        <v>141</v>
      </c>
      <c r="E118" s="85" t="s">
        <v>141</v>
      </c>
      <c r="F118" s="74" t="s">
        <v>141</v>
      </c>
      <c r="G118" s="74" t="s">
        <v>141</v>
      </c>
      <c r="H118" s="74" t="s">
        <v>134</v>
      </c>
      <c r="I118" s="75" t="s">
        <v>430</v>
      </c>
      <c r="J118" s="75" t="s">
        <v>431</v>
      </c>
      <c r="K118" s="75" t="s">
        <v>341</v>
      </c>
      <c r="L118" s="84" t="s">
        <v>410</v>
      </c>
      <c r="M118" s="76"/>
      <c r="N118" s="81"/>
      <c r="O118" s="77" t="s">
        <v>15</v>
      </c>
      <c r="P118" s="77" t="s">
        <v>15</v>
      </c>
      <c r="Q118" s="77" t="s">
        <v>15</v>
      </c>
      <c r="R118" s="77" t="s">
        <v>15</v>
      </c>
      <c r="S118" s="77" t="s">
        <v>15</v>
      </c>
      <c r="T118" s="77" t="s">
        <v>15</v>
      </c>
      <c r="U118" s="77" t="s">
        <v>15</v>
      </c>
      <c r="V118" s="77" t="s">
        <v>15</v>
      </c>
      <c r="W118" s="78" t="s">
        <v>41</v>
      </c>
      <c r="X118" s="77" t="s">
        <v>15</v>
      </c>
      <c r="Y118" s="77" t="s">
        <v>15</v>
      </c>
      <c r="Z118" s="77" t="s">
        <v>15</v>
      </c>
    </row>
    <row r="119" spans="1:26">
      <c r="A119" s="72">
        <v>118</v>
      </c>
      <c r="B119" s="81" t="s">
        <v>432</v>
      </c>
      <c r="C119" s="85" t="s">
        <v>141</v>
      </c>
      <c r="D119" s="85" t="s">
        <v>141</v>
      </c>
      <c r="E119" s="85" t="s">
        <v>141</v>
      </c>
      <c r="F119" s="74" t="s">
        <v>141</v>
      </c>
      <c r="G119" s="74" t="s">
        <v>141</v>
      </c>
      <c r="H119" s="74" t="s">
        <v>134</v>
      </c>
      <c r="I119" s="75" t="s">
        <v>433</v>
      </c>
      <c r="J119" s="75" t="s">
        <v>434</v>
      </c>
      <c r="K119" s="75" t="s">
        <v>341</v>
      </c>
      <c r="L119" s="84" t="s">
        <v>410</v>
      </c>
      <c r="M119" s="81"/>
      <c r="N119" s="81"/>
      <c r="O119" s="77" t="s">
        <v>15</v>
      </c>
      <c r="P119" s="77" t="s">
        <v>15</v>
      </c>
      <c r="Q119" s="77" t="s">
        <v>15</v>
      </c>
      <c r="R119" s="77" t="s">
        <v>15</v>
      </c>
      <c r="S119" s="77" t="s">
        <v>15</v>
      </c>
      <c r="T119" s="77" t="s">
        <v>15</v>
      </c>
      <c r="U119" s="77" t="s">
        <v>15</v>
      </c>
      <c r="V119" s="77" t="s">
        <v>15</v>
      </c>
      <c r="W119" s="78" t="s">
        <v>41</v>
      </c>
      <c r="X119" s="77" t="s">
        <v>15</v>
      </c>
      <c r="Y119" s="77" t="s">
        <v>15</v>
      </c>
      <c r="Z119" s="77" t="s">
        <v>15</v>
      </c>
    </row>
    <row r="120" spans="1:26">
      <c r="A120" s="72">
        <v>119</v>
      </c>
      <c r="B120" s="81" t="s">
        <v>435</v>
      </c>
      <c r="C120" s="85" t="s">
        <v>141</v>
      </c>
      <c r="D120" s="85" t="s">
        <v>141</v>
      </c>
      <c r="E120" s="85" t="s">
        <v>141</v>
      </c>
      <c r="F120" s="74" t="s">
        <v>141</v>
      </c>
      <c r="G120" s="74" t="s">
        <v>141</v>
      </c>
      <c r="H120" s="74" t="s">
        <v>134</v>
      </c>
      <c r="I120" s="75" t="s">
        <v>436</v>
      </c>
      <c r="J120" s="75" t="s">
        <v>437</v>
      </c>
      <c r="K120" s="75" t="s">
        <v>341</v>
      </c>
      <c r="L120" s="84" t="s">
        <v>410</v>
      </c>
      <c r="M120" s="81"/>
      <c r="N120" s="81"/>
      <c r="O120" s="77" t="s">
        <v>15</v>
      </c>
      <c r="P120" s="77" t="s">
        <v>15</v>
      </c>
      <c r="Q120" s="77" t="s">
        <v>15</v>
      </c>
      <c r="R120" s="77" t="s">
        <v>15</v>
      </c>
      <c r="S120" s="77" t="s">
        <v>15</v>
      </c>
      <c r="T120" s="77" t="s">
        <v>15</v>
      </c>
      <c r="U120" s="77" t="s">
        <v>15</v>
      </c>
      <c r="V120" s="77" t="s">
        <v>15</v>
      </c>
      <c r="W120" s="78" t="s">
        <v>41</v>
      </c>
      <c r="X120" s="77" t="s">
        <v>15</v>
      </c>
      <c r="Y120" s="77" t="s">
        <v>15</v>
      </c>
      <c r="Z120" s="77" t="s">
        <v>15</v>
      </c>
    </row>
    <row r="121" spans="1:26">
      <c r="A121" s="72">
        <v>120</v>
      </c>
      <c r="B121" s="81" t="s">
        <v>438</v>
      </c>
      <c r="C121" s="85" t="s">
        <v>141</v>
      </c>
      <c r="D121" s="85" t="s">
        <v>141</v>
      </c>
      <c r="E121" s="85" t="s">
        <v>141</v>
      </c>
      <c r="F121" s="74" t="s">
        <v>141</v>
      </c>
      <c r="G121" s="74" t="s">
        <v>141</v>
      </c>
      <c r="H121" s="74" t="s">
        <v>134</v>
      </c>
      <c r="I121" s="75" t="s">
        <v>439</v>
      </c>
      <c r="J121" s="75" t="s">
        <v>440</v>
      </c>
      <c r="K121" s="75" t="s">
        <v>341</v>
      </c>
      <c r="L121" s="84" t="s">
        <v>410</v>
      </c>
      <c r="M121" s="81"/>
      <c r="N121" s="81"/>
      <c r="O121" s="77" t="s">
        <v>15</v>
      </c>
      <c r="P121" s="77" t="s">
        <v>15</v>
      </c>
      <c r="Q121" s="77" t="s">
        <v>15</v>
      </c>
      <c r="R121" s="77" t="s">
        <v>15</v>
      </c>
      <c r="S121" s="77" t="s">
        <v>15</v>
      </c>
      <c r="T121" s="77" t="s">
        <v>15</v>
      </c>
      <c r="U121" s="77" t="s">
        <v>15</v>
      </c>
      <c r="V121" s="77" t="s">
        <v>15</v>
      </c>
      <c r="W121" s="78" t="s">
        <v>41</v>
      </c>
      <c r="X121" s="77" t="s">
        <v>15</v>
      </c>
      <c r="Y121" s="77" t="s">
        <v>15</v>
      </c>
      <c r="Z121" s="77" t="s">
        <v>15</v>
      </c>
    </row>
    <row r="122" spans="1:26">
      <c r="A122" s="72">
        <v>121</v>
      </c>
      <c r="B122" s="81" t="s">
        <v>441</v>
      </c>
      <c r="C122" s="85" t="s">
        <v>141</v>
      </c>
      <c r="D122" s="85" t="s">
        <v>141</v>
      </c>
      <c r="E122" s="85" t="s">
        <v>141</v>
      </c>
      <c r="F122" s="74" t="s">
        <v>141</v>
      </c>
      <c r="G122" s="74" t="s">
        <v>141</v>
      </c>
      <c r="H122" s="74" t="s">
        <v>134</v>
      </c>
      <c r="I122" s="75" t="s">
        <v>442</v>
      </c>
      <c r="J122" s="75" t="s">
        <v>443</v>
      </c>
      <c r="K122" s="75" t="s">
        <v>341</v>
      </c>
      <c r="L122" s="84" t="s">
        <v>410</v>
      </c>
      <c r="M122" s="81"/>
      <c r="N122" s="81"/>
      <c r="O122" s="77" t="s">
        <v>15</v>
      </c>
      <c r="P122" s="77" t="s">
        <v>15</v>
      </c>
      <c r="Q122" s="77" t="s">
        <v>15</v>
      </c>
      <c r="R122" s="77" t="s">
        <v>15</v>
      </c>
      <c r="S122" s="77" t="s">
        <v>15</v>
      </c>
      <c r="T122" s="77" t="s">
        <v>15</v>
      </c>
      <c r="U122" s="77" t="s">
        <v>15</v>
      </c>
      <c r="V122" s="77" t="s">
        <v>15</v>
      </c>
      <c r="W122" s="78" t="s">
        <v>41</v>
      </c>
      <c r="X122" s="77" t="s">
        <v>15</v>
      </c>
      <c r="Y122" s="77" t="s">
        <v>15</v>
      </c>
      <c r="Z122" s="77" t="s">
        <v>15</v>
      </c>
    </row>
    <row r="123" spans="1:26">
      <c r="A123" s="72">
        <v>122</v>
      </c>
      <c r="B123" s="81" t="s">
        <v>444</v>
      </c>
      <c r="C123" s="85" t="s">
        <v>141</v>
      </c>
      <c r="D123" s="85" t="s">
        <v>141</v>
      </c>
      <c r="E123" s="85" t="s">
        <v>141</v>
      </c>
      <c r="F123" s="74" t="s">
        <v>141</v>
      </c>
      <c r="G123" s="74" t="s">
        <v>141</v>
      </c>
      <c r="H123" s="74" t="s">
        <v>134</v>
      </c>
      <c r="I123" s="75" t="s">
        <v>445</v>
      </c>
      <c r="J123" s="75" t="s">
        <v>446</v>
      </c>
      <c r="K123" s="75" t="s">
        <v>341</v>
      </c>
      <c r="L123" s="84" t="s">
        <v>410</v>
      </c>
      <c r="M123" s="81"/>
      <c r="N123" s="81"/>
      <c r="O123" s="77" t="s">
        <v>15</v>
      </c>
      <c r="P123" s="77" t="s">
        <v>15</v>
      </c>
      <c r="Q123" s="77" t="s">
        <v>15</v>
      </c>
      <c r="R123" s="77" t="s">
        <v>15</v>
      </c>
      <c r="S123" s="77" t="s">
        <v>15</v>
      </c>
      <c r="T123" s="77" t="s">
        <v>15</v>
      </c>
      <c r="U123" s="77" t="s">
        <v>15</v>
      </c>
      <c r="V123" s="77" t="s">
        <v>15</v>
      </c>
      <c r="W123" s="78" t="s">
        <v>41</v>
      </c>
      <c r="X123" s="77" t="s">
        <v>15</v>
      </c>
      <c r="Y123" s="77" t="s">
        <v>15</v>
      </c>
      <c r="Z123" s="77" t="s">
        <v>15</v>
      </c>
    </row>
    <row r="124" spans="1:26">
      <c r="A124" s="72">
        <v>123</v>
      </c>
      <c r="B124" s="81" t="s">
        <v>447</v>
      </c>
      <c r="C124" s="85" t="s">
        <v>141</v>
      </c>
      <c r="D124" s="85" t="s">
        <v>141</v>
      </c>
      <c r="E124" s="85" t="s">
        <v>141</v>
      </c>
      <c r="F124" s="74" t="s">
        <v>141</v>
      </c>
      <c r="G124" s="74" t="s">
        <v>141</v>
      </c>
      <c r="H124" s="74" t="s">
        <v>134</v>
      </c>
      <c r="I124" s="75" t="s">
        <v>448</v>
      </c>
      <c r="J124" s="75" t="s">
        <v>449</v>
      </c>
      <c r="K124" s="75" t="s">
        <v>341</v>
      </c>
      <c r="L124" s="84" t="s">
        <v>410</v>
      </c>
      <c r="M124" s="81"/>
      <c r="N124" s="81"/>
      <c r="O124" s="77" t="s">
        <v>15</v>
      </c>
      <c r="P124" s="77" t="s">
        <v>15</v>
      </c>
      <c r="Q124" s="77" t="s">
        <v>15</v>
      </c>
      <c r="R124" s="77" t="s">
        <v>15</v>
      </c>
      <c r="S124" s="77" t="s">
        <v>15</v>
      </c>
      <c r="T124" s="77" t="s">
        <v>15</v>
      </c>
      <c r="U124" s="77" t="s">
        <v>15</v>
      </c>
      <c r="V124" s="77" t="s">
        <v>15</v>
      </c>
      <c r="W124" s="78" t="s">
        <v>41</v>
      </c>
      <c r="X124" s="77" t="s">
        <v>15</v>
      </c>
      <c r="Y124" s="77" t="s">
        <v>15</v>
      </c>
      <c r="Z124" s="77" t="s">
        <v>15</v>
      </c>
    </row>
    <row r="125" spans="1:26">
      <c r="A125" s="72">
        <v>124</v>
      </c>
      <c r="B125" s="81" t="s">
        <v>450</v>
      </c>
      <c r="C125" s="85" t="s">
        <v>141</v>
      </c>
      <c r="D125" s="85" t="s">
        <v>141</v>
      </c>
      <c r="E125" s="85" t="s">
        <v>141</v>
      </c>
      <c r="F125" s="74" t="s">
        <v>141</v>
      </c>
      <c r="G125" s="74" t="s">
        <v>141</v>
      </c>
      <c r="H125" s="74" t="s">
        <v>134</v>
      </c>
      <c r="I125" s="75" t="s">
        <v>451</v>
      </c>
      <c r="J125" s="75" t="s">
        <v>452</v>
      </c>
      <c r="K125" s="75" t="s">
        <v>341</v>
      </c>
      <c r="L125" s="84" t="s">
        <v>410</v>
      </c>
      <c r="M125" s="81"/>
      <c r="N125" s="81"/>
      <c r="O125" s="77" t="s">
        <v>15</v>
      </c>
      <c r="P125" s="77" t="s">
        <v>15</v>
      </c>
      <c r="Q125" s="77" t="s">
        <v>15</v>
      </c>
      <c r="R125" s="77" t="s">
        <v>15</v>
      </c>
      <c r="S125" s="77" t="s">
        <v>15</v>
      </c>
      <c r="T125" s="77" t="s">
        <v>15</v>
      </c>
      <c r="U125" s="77" t="s">
        <v>15</v>
      </c>
      <c r="V125" s="77" t="s">
        <v>15</v>
      </c>
      <c r="W125" s="78" t="s">
        <v>41</v>
      </c>
      <c r="X125" s="77" t="s">
        <v>15</v>
      </c>
      <c r="Y125" s="77" t="s">
        <v>15</v>
      </c>
      <c r="Z125" s="77" t="s">
        <v>15</v>
      </c>
    </row>
    <row r="126" spans="1:26">
      <c r="A126" s="72">
        <v>125</v>
      </c>
      <c r="B126" s="81" t="s">
        <v>453</v>
      </c>
      <c r="C126" s="85" t="s">
        <v>141</v>
      </c>
      <c r="D126" s="85" t="s">
        <v>141</v>
      </c>
      <c r="E126" s="85" t="s">
        <v>141</v>
      </c>
      <c r="F126" s="74" t="s">
        <v>141</v>
      </c>
      <c r="G126" s="74" t="s">
        <v>141</v>
      </c>
      <c r="H126" s="74" t="s">
        <v>134</v>
      </c>
      <c r="I126" s="75" t="s">
        <v>454</v>
      </c>
      <c r="J126" s="75" t="s">
        <v>455</v>
      </c>
      <c r="K126" s="75" t="s">
        <v>341</v>
      </c>
      <c r="L126" s="84" t="s">
        <v>410</v>
      </c>
      <c r="M126" s="81"/>
      <c r="N126" s="81"/>
      <c r="O126" s="77" t="s">
        <v>15</v>
      </c>
      <c r="P126" s="77" t="s">
        <v>15</v>
      </c>
      <c r="Q126" s="77" t="s">
        <v>15</v>
      </c>
      <c r="R126" s="77" t="s">
        <v>15</v>
      </c>
      <c r="S126" s="77" t="s">
        <v>15</v>
      </c>
      <c r="T126" s="77" t="s">
        <v>15</v>
      </c>
      <c r="U126" s="77" t="s">
        <v>15</v>
      </c>
      <c r="V126" s="77" t="s">
        <v>15</v>
      </c>
      <c r="W126" s="78" t="s">
        <v>41</v>
      </c>
      <c r="X126" s="77" t="s">
        <v>15</v>
      </c>
      <c r="Y126" s="77" t="s">
        <v>15</v>
      </c>
      <c r="Z126" s="77" t="s">
        <v>15</v>
      </c>
    </row>
    <row r="127" spans="1:26">
      <c r="A127" s="72">
        <v>126</v>
      </c>
      <c r="B127" s="81" t="s">
        <v>456</v>
      </c>
      <c r="C127" s="85" t="s">
        <v>141</v>
      </c>
      <c r="D127" s="85" t="s">
        <v>141</v>
      </c>
      <c r="E127" s="85" t="s">
        <v>141</v>
      </c>
      <c r="F127" s="74" t="s">
        <v>141</v>
      </c>
      <c r="G127" s="74" t="s">
        <v>141</v>
      </c>
      <c r="H127" s="74" t="s">
        <v>134</v>
      </c>
      <c r="I127" s="75" t="s">
        <v>457</v>
      </c>
      <c r="J127" s="75" t="s">
        <v>458</v>
      </c>
      <c r="K127" s="75" t="s">
        <v>341</v>
      </c>
      <c r="L127" s="84" t="s">
        <v>410</v>
      </c>
      <c r="M127" s="81"/>
      <c r="N127" s="81"/>
      <c r="O127" s="77" t="s">
        <v>15</v>
      </c>
      <c r="P127" s="77" t="s">
        <v>15</v>
      </c>
      <c r="Q127" s="77" t="s">
        <v>15</v>
      </c>
      <c r="R127" s="77" t="s">
        <v>15</v>
      </c>
      <c r="S127" s="77" t="s">
        <v>15</v>
      </c>
      <c r="T127" s="77" t="s">
        <v>15</v>
      </c>
      <c r="U127" s="77" t="s">
        <v>15</v>
      </c>
      <c r="V127" s="77" t="s">
        <v>15</v>
      </c>
      <c r="W127" s="78" t="s">
        <v>41</v>
      </c>
      <c r="X127" s="77" t="s">
        <v>15</v>
      </c>
      <c r="Y127" s="77" t="s">
        <v>15</v>
      </c>
      <c r="Z127" s="77" t="s">
        <v>15</v>
      </c>
    </row>
    <row r="128" spans="1:26">
      <c r="A128" s="72">
        <v>127</v>
      </c>
      <c r="B128" s="81" t="s">
        <v>459</v>
      </c>
      <c r="C128" s="85" t="s">
        <v>141</v>
      </c>
      <c r="D128" s="85" t="s">
        <v>141</v>
      </c>
      <c r="E128" s="85" t="s">
        <v>141</v>
      </c>
      <c r="F128" s="74" t="s">
        <v>141</v>
      </c>
      <c r="G128" s="74" t="s">
        <v>134</v>
      </c>
      <c r="H128" s="74" t="s">
        <v>141</v>
      </c>
      <c r="I128" s="75" t="s">
        <v>460</v>
      </c>
      <c r="J128" s="75" t="s">
        <v>461</v>
      </c>
      <c r="K128" s="75" t="s">
        <v>341</v>
      </c>
      <c r="L128" s="84" t="s">
        <v>410</v>
      </c>
      <c r="M128" s="81"/>
      <c r="N128" s="81"/>
      <c r="O128" s="77" t="s">
        <v>15</v>
      </c>
      <c r="P128" s="77" t="s">
        <v>15</v>
      </c>
      <c r="Q128" s="77" t="s">
        <v>15</v>
      </c>
      <c r="R128" s="77" t="s">
        <v>15</v>
      </c>
      <c r="S128" s="77" t="s">
        <v>15</v>
      </c>
      <c r="T128" s="77" t="s">
        <v>15</v>
      </c>
      <c r="U128" s="77" t="s">
        <v>15</v>
      </c>
      <c r="V128" s="78" t="s">
        <v>41</v>
      </c>
      <c r="W128" s="77" t="s">
        <v>15</v>
      </c>
      <c r="X128" s="77" t="s">
        <v>15</v>
      </c>
      <c r="Y128" s="77" t="s">
        <v>15</v>
      </c>
      <c r="Z128" s="77" t="s">
        <v>15</v>
      </c>
    </row>
    <row r="129" spans="1:26">
      <c r="A129" s="72">
        <v>128</v>
      </c>
      <c r="B129" s="81" t="s">
        <v>462</v>
      </c>
      <c r="C129" s="85" t="s">
        <v>141</v>
      </c>
      <c r="D129" s="85" t="s">
        <v>141</v>
      </c>
      <c r="E129" s="85" t="s">
        <v>141</v>
      </c>
      <c r="F129" s="74" t="s">
        <v>141</v>
      </c>
      <c r="G129" s="74" t="s">
        <v>134</v>
      </c>
      <c r="H129" s="74" t="s">
        <v>141</v>
      </c>
      <c r="I129" s="75" t="s">
        <v>463</v>
      </c>
      <c r="J129" s="75" t="s">
        <v>464</v>
      </c>
      <c r="K129" s="75" t="s">
        <v>341</v>
      </c>
      <c r="L129" s="84" t="s">
        <v>410</v>
      </c>
      <c r="M129" s="81"/>
      <c r="N129" s="81"/>
      <c r="O129" s="77" t="s">
        <v>15</v>
      </c>
      <c r="P129" s="77" t="s">
        <v>15</v>
      </c>
      <c r="Q129" s="77" t="s">
        <v>15</v>
      </c>
      <c r="R129" s="77" t="s">
        <v>15</v>
      </c>
      <c r="S129" s="77" t="s">
        <v>15</v>
      </c>
      <c r="T129" s="77" t="s">
        <v>15</v>
      </c>
      <c r="U129" s="77" t="s">
        <v>15</v>
      </c>
      <c r="V129" s="78" t="s">
        <v>41</v>
      </c>
      <c r="W129" s="77" t="s">
        <v>15</v>
      </c>
      <c r="X129" s="77" t="s">
        <v>15</v>
      </c>
      <c r="Y129" s="77" t="s">
        <v>15</v>
      </c>
      <c r="Z129" s="77" t="s">
        <v>15</v>
      </c>
    </row>
    <row r="130" spans="1:26">
      <c r="A130" s="72">
        <v>129</v>
      </c>
      <c r="B130" s="81" t="s">
        <v>465</v>
      </c>
      <c r="C130" s="85" t="s">
        <v>141</v>
      </c>
      <c r="D130" s="85" t="s">
        <v>141</v>
      </c>
      <c r="E130" s="85" t="s">
        <v>141</v>
      </c>
      <c r="F130" s="74" t="s">
        <v>141</v>
      </c>
      <c r="G130" s="74" t="s">
        <v>134</v>
      </c>
      <c r="H130" s="74" t="s">
        <v>141</v>
      </c>
      <c r="I130" s="75" t="s">
        <v>466</v>
      </c>
      <c r="J130" s="75" t="s">
        <v>467</v>
      </c>
      <c r="K130" s="75" t="s">
        <v>341</v>
      </c>
      <c r="L130" s="84" t="s">
        <v>410</v>
      </c>
      <c r="M130" s="81"/>
      <c r="N130" s="81"/>
      <c r="O130" s="77" t="s">
        <v>15</v>
      </c>
      <c r="P130" s="77" t="s">
        <v>15</v>
      </c>
      <c r="Q130" s="77" t="s">
        <v>15</v>
      </c>
      <c r="R130" s="77" t="s">
        <v>15</v>
      </c>
      <c r="S130" s="77" t="s">
        <v>15</v>
      </c>
      <c r="T130" s="77" t="s">
        <v>15</v>
      </c>
      <c r="U130" s="77" t="s">
        <v>15</v>
      </c>
      <c r="V130" s="78" t="s">
        <v>41</v>
      </c>
      <c r="W130" s="77" t="s">
        <v>15</v>
      </c>
      <c r="X130" s="77" t="s">
        <v>15</v>
      </c>
      <c r="Y130" s="77" t="s">
        <v>15</v>
      </c>
      <c r="Z130" s="77" t="s">
        <v>15</v>
      </c>
    </row>
    <row r="131" spans="1:26">
      <c r="A131" s="72">
        <v>130</v>
      </c>
      <c r="B131" s="81" t="s">
        <v>468</v>
      </c>
      <c r="C131" s="85" t="s">
        <v>141</v>
      </c>
      <c r="D131" s="85" t="s">
        <v>141</v>
      </c>
      <c r="E131" s="85" t="s">
        <v>141</v>
      </c>
      <c r="F131" s="74" t="s">
        <v>141</v>
      </c>
      <c r="G131" s="74" t="s">
        <v>134</v>
      </c>
      <c r="H131" s="74" t="s">
        <v>141</v>
      </c>
      <c r="I131" s="75" t="s">
        <v>469</v>
      </c>
      <c r="J131" s="75" t="s">
        <v>470</v>
      </c>
      <c r="K131" s="75" t="s">
        <v>341</v>
      </c>
      <c r="L131" s="84" t="s">
        <v>410</v>
      </c>
      <c r="M131" s="81"/>
      <c r="N131" s="81"/>
      <c r="O131" s="77" t="s">
        <v>15</v>
      </c>
      <c r="P131" s="77" t="s">
        <v>15</v>
      </c>
      <c r="Q131" s="77" t="s">
        <v>15</v>
      </c>
      <c r="R131" s="77" t="s">
        <v>15</v>
      </c>
      <c r="S131" s="77" t="s">
        <v>15</v>
      </c>
      <c r="T131" s="77" t="s">
        <v>15</v>
      </c>
      <c r="U131" s="77" t="s">
        <v>15</v>
      </c>
      <c r="V131" s="78" t="s">
        <v>41</v>
      </c>
      <c r="W131" s="77" t="s">
        <v>15</v>
      </c>
      <c r="X131" s="77" t="s">
        <v>15</v>
      </c>
      <c r="Y131" s="77" t="s">
        <v>15</v>
      </c>
      <c r="Z131" s="77" t="s">
        <v>15</v>
      </c>
    </row>
    <row r="132" spans="1:26">
      <c r="A132" s="72">
        <v>131</v>
      </c>
      <c r="B132" s="81" t="s">
        <v>471</v>
      </c>
      <c r="C132" s="85" t="s">
        <v>141</v>
      </c>
      <c r="D132" s="85" t="s">
        <v>141</v>
      </c>
      <c r="E132" s="85" t="s">
        <v>141</v>
      </c>
      <c r="F132" s="74" t="s">
        <v>141</v>
      </c>
      <c r="G132" s="74" t="s">
        <v>134</v>
      </c>
      <c r="H132" s="74" t="s">
        <v>141</v>
      </c>
      <c r="I132" s="75" t="s">
        <v>472</v>
      </c>
      <c r="J132" s="75" t="s">
        <v>473</v>
      </c>
      <c r="K132" s="75" t="s">
        <v>341</v>
      </c>
      <c r="L132" s="84" t="s">
        <v>410</v>
      </c>
      <c r="M132" s="81"/>
      <c r="N132" s="81"/>
      <c r="O132" s="77" t="s">
        <v>15</v>
      </c>
      <c r="P132" s="77" t="s">
        <v>15</v>
      </c>
      <c r="Q132" s="77" t="s">
        <v>15</v>
      </c>
      <c r="R132" s="77" t="s">
        <v>15</v>
      </c>
      <c r="S132" s="77" t="s">
        <v>15</v>
      </c>
      <c r="T132" s="77" t="s">
        <v>15</v>
      </c>
      <c r="U132" s="77" t="s">
        <v>15</v>
      </c>
      <c r="V132" s="78" t="s">
        <v>41</v>
      </c>
      <c r="W132" s="77" t="s">
        <v>15</v>
      </c>
      <c r="X132" s="77" t="s">
        <v>15</v>
      </c>
      <c r="Y132" s="77" t="s">
        <v>15</v>
      </c>
      <c r="Z132" s="77" t="s">
        <v>15</v>
      </c>
    </row>
    <row r="133" spans="1:26">
      <c r="A133" s="72">
        <v>132</v>
      </c>
      <c r="B133" s="81" t="s">
        <v>474</v>
      </c>
      <c r="C133" s="85" t="s">
        <v>141</v>
      </c>
      <c r="D133" s="85" t="s">
        <v>141</v>
      </c>
      <c r="E133" s="85" t="s">
        <v>141</v>
      </c>
      <c r="F133" s="74" t="s">
        <v>141</v>
      </c>
      <c r="G133" s="74" t="s">
        <v>134</v>
      </c>
      <c r="H133" s="74" t="s">
        <v>141</v>
      </c>
      <c r="I133" s="75" t="s">
        <v>475</v>
      </c>
      <c r="J133" s="75" t="s">
        <v>476</v>
      </c>
      <c r="K133" s="75" t="s">
        <v>341</v>
      </c>
      <c r="L133" s="84" t="s">
        <v>410</v>
      </c>
      <c r="M133" s="81"/>
      <c r="N133" s="81"/>
      <c r="O133" s="77" t="s">
        <v>15</v>
      </c>
      <c r="P133" s="77" t="s">
        <v>15</v>
      </c>
      <c r="Q133" s="77" t="s">
        <v>15</v>
      </c>
      <c r="R133" s="77" t="s">
        <v>15</v>
      </c>
      <c r="S133" s="77" t="s">
        <v>15</v>
      </c>
      <c r="T133" s="77" t="s">
        <v>15</v>
      </c>
      <c r="U133" s="77" t="s">
        <v>15</v>
      </c>
      <c r="V133" s="78" t="s">
        <v>41</v>
      </c>
      <c r="W133" s="77" t="s">
        <v>15</v>
      </c>
      <c r="X133" s="77" t="s">
        <v>15</v>
      </c>
      <c r="Y133" s="77" t="s">
        <v>15</v>
      </c>
      <c r="Z133" s="77" t="s">
        <v>15</v>
      </c>
    </row>
    <row r="134" spans="1:26">
      <c r="A134" s="72">
        <v>133</v>
      </c>
      <c r="B134" s="81" t="s">
        <v>477</v>
      </c>
      <c r="C134" s="85" t="s">
        <v>141</v>
      </c>
      <c r="D134" s="85" t="s">
        <v>141</v>
      </c>
      <c r="E134" s="85" t="s">
        <v>141</v>
      </c>
      <c r="F134" s="74" t="s">
        <v>141</v>
      </c>
      <c r="G134" s="74" t="s">
        <v>134</v>
      </c>
      <c r="H134" s="74" t="s">
        <v>141</v>
      </c>
      <c r="I134" s="75" t="s">
        <v>478</v>
      </c>
      <c r="J134" s="75" t="s">
        <v>479</v>
      </c>
      <c r="K134" s="75" t="s">
        <v>341</v>
      </c>
      <c r="L134" s="84" t="s">
        <v>410</v>
      </c>
      <c r="M134" s="81"/>
      <c r="N134" s="81"/>
      <c r="O134" s="77" t="s">
        <v>15</v>
      </c>
      <c r="P134" s="77" t="s">
        <v>15</v>
      </c>
      <c r="Q134" s="77" t="s">
        <v>15</v>
      </c>
      <c r="R134" s="77" t="s">
        <v>15</v>
      </c>
      <c r="S134" s="77" t="s">
        <v>15</v>
      </c>
      <c r="T134" s="77" t="s">
        <v>15</v>
      </c>
      <c r="U134" s="77" t="s">
        <v>15</v>
      </c>
      <c r="V134" s="78" t="s">
        <v>41</v>
      </c>
      <c r="W134" s="77" t="s">
        <v>15</v>
      </c>
      <c r="X134" s="77" t="s">
        <v>15</v>
      </c>
      <c r="Y134" s="77" t="s">
        <v>15</v>
      </c>
      <c r="Z134" s="77" t="s">
        <v>15</v>
      </c>
    </row>
    <row r="135" spans="1:26">
      <c r="A135" s="72">
        <v>134</v>
      </c>
      <c r="B135" s="81" t="s">
        <v>480</v>
      </c>
      <c r="C135" s="85" t="s">
        <v>141</v>
      </c>
      <c r="D135" s="85" t="s">
        <v>141</v>
      </c>
      <c r="E135" s="85" t="s">
        <v>141</v>
      </c>
      <c r="F135" s="74" t="s">
        <v>141</v>
      </c>
      <c r="G135" s="74" t="s">
        <v>134</v>
      </c>
      <c r="H135" s="74" t="s">
        <v>141</v>
      </c>
      <c r="I135" s="75" t="s">
        <v>481</v>
      </c>
      <c r="J135" s="75" t="s">
        <v>482</v>
      </c>
      <c r="K135" s="75" t="s">
        <v>341</v>
      </c>
      <c r="L135" s="84" t="s">
        <v>410</v>
      </c>
      <c r="M135" s="81"/>
      <c r="N135" s="81"/>
      <c r="O135" s="77" t="s">
        <v>15</v>
      </c>
      <c r="P135" s="77" t="s">
        <v>15</v>
      </c>
      <c r="Q135" s="77" t="s">
        <v>15</v>
      </c>
      <c r="R135" s="77" t="s">
        <v>15</v>
      </c>
      <c r="S135" s="77" t="s">
        <v>15</v>
      </c>
      <c r="T135" s="77" t="s">
        <v>15</v>
      </c>
      <c r="U135" s="77" t="s">
        <v>15</v>
      </c>
      <c r="V135" s="78" t="s">
        <v>41</v>
      </c>
      <c r="W135" s="77" t="s">
        <v>15</v>
      </c>
      <c r="X135" s="77" t="s">
        <v>15</v>
      </c>
      <c r="Y135" s="77" t="s">
        <v>15</v>
      </c>
      <c r="Z135" s="77" t="s">
        <v>15</v>
      </c>
    </row>
    <row r="136" spans="1:26">
      <c r="A136" s="72">
        <v>135</v>
      </c>
      <c r="B136" s="81" t="s">
        <v>483</v>
      </c>
      <c r="C136" s="85" t="s">
        <v>141</v>
      </c>
      <c r="D136" s="85" t="s">
        <v>141</v>
      </c>
      <c r="E136" s="85" t="s">
        <v>141</v>
      </c>
      <c r="F136" s="74" t="s">
        <v>141</v>
      </c>
      <c r="G136" s="74" t="s">
        <v>134</v>
      </c>
      <c r="H136" s="74" t="s">
        <v>141</v>
      </c>
      <c r="I136" s="75" t="s">
        <v>484</v>
      </c>
      <c r="J136" s="75" t="s">
        <v>485</v>
      </c>
      <c r="K136" s="75" t="s">
        <v>341</v>
      </c>
      <c r="L136" s="84" t="s">
        <v>410</v>
      </c>
      <c r="M136" s="81"/>
      <c r="N136" s="81"/>
      <c r="O136" s="77" t="s">
        <v>15</v>
      </c>
      <c r="P136" s="77" t="s">
        <v>15</v>
      </c>
      <c r="Q136" s="77" t="s">
        <v>15</v>
      </c>
      <c r="R136" s="77" t="s">
        <v>15</v>
      </c>
      <c r="S136" s="77" t="s">
        <v>15</v>
      </c>
      <c r="T136" s="77" t="s">
        <v>15</v>
      </c>
      <c r="U136" s="77" t="s">
        <v>15</v>
      </c>
      <c r="V136" s="78" t="s">
        <v>41</v>
      </c>
      <c r="W136" s="77" t="s">
        <v>15</v>
      </c>
      <c r="X136" s="77" t="s">
        <v>15</v>
      </c>
      <c r="Y136" s="77" t="s">
        <v>15</v>
      </c>
      <c r="Z136" s="77" t="s">
        <v>15</v>
      </c>
    </row>
    <row r="137" spans="1:26">
      <c r="A137" s="72">
        <v>136</v>
      </c>
      <c r="B137" s="81" t="s">
        <v>486</v>
      </c>
      <c r="C137" s="85" t="s">
        <v>141</v>
      </c>
      <c r="D137" s="85" t="s">
        <v>141</v>
      </c>
      <c r="E137" s="85" t="s">
        <v>141</v>
      </c>
      <c r="F137" s="74" t="s">
        <v>141</v>
      </c>
      <c r="G137" s="74" t="s">
        <v>134</v>
      </c>
      <c r="H137" s="74" t="s">
        <v>141</v>
      </c>
      <c r="I137" s="75" t="s">
        <v>487</v>
      </c>
      <c r="J137" s="75" t="s">
        <v>488</v>
      </c>
      <c r="K137" s="75" t="s">
        <v>341</v>
      </c>
      <c r="L137" s="84" t="s">
        <v>410</v>
      </c>
      <c r="M137" s="81"/>
      <c r="N137" s="81"/>
      <c r="O137" s="77" t="s">
        <v>15</v>
      </c>
      <c r="P137" s="77" t="s">
        <v>15</v>
      </c>
      <c r="Q137" s="77" t="s">
        <v>15</v>
      </c>
      <c r="R137" s="77" t="s">
        <v>15</v>
      </c>
      <c r="S137" s="77" t="s">
        <v>15</v>
      </c>
      <c r="T137" s="77" t="s">
        <v>15</v>
      </c>
      <c r="U137" s="77" t="s">
        <v>15</v>
      </c>
      <c r="V137" s="78" t="s">
        <v>41</v>
      </c>
      <c r="W137" s="77" t="s">
        <v>15</v>
      </c>
      <c r="X137" s="77" t="s">
        <v>15</v>
      </c>
      <c r="Y137" s="77" t="s">
        <v>15</v>
      </c>
      <c r="Z137" s="77" t="s">
        <v>15</v>
      </c>
    </row>
    <row r="138" spans="1:26">
      <c r="A138" s="72">
        <v>137</v>
      </c>
      <c r="B138" s="81" t="s">
        <v>489</v>
      </c>
      <c r="C138" s="85" t="s">
        <v>141</v>
      </c>
      <c r="D138" s="85" t="s">
        <v>141</v>
      </c>
      <c r="E138" s="85" t="s">
        <v>141</v>
      </c>
      <c r="F138" s="74" t="s">
        <v>141</v>
      </c>
      <c r="G138" s="74" t="s">
        <v>134</v>
      </c>
      <c r="H138" s="74" t="s">
        <v>141</v>
      </c>
      <c r="I138" s="75" t="s">
        <v>490</v>
      </c>
      <c r="J138" s="75" t="s">
        <v>491</v>
      </c>
      <c r="K138" s="75" t="s">
        <v>341</v>
      </c>
      <c r="L138" s="84" t="s">
        <v>410</v>
      </c>
      <c r="M138" s="81"/>
      <c r="N138" s="81"/>
      <c r="O138" s="77" t="s">
        <v>15</v>
      </c>
      <c r="P138" s="77" t="s">
        <v>15</v>
      </c>
      <c r="Q138" s="77" t="s">
        <v>15</v>
      </c>
      <c r="R138" s="77" t="s">
        <v>15</v>
      </c>
      <c r="S138" s="77" t="s">
        <v>15</v>
      </c>
      <c r="T138" s="77" t="s">
        <v>15</v>
      </c>
      <c r="U138" s="77" t="s">
        <v>15</v>
      </c>
      <c r="V138" s="78" t="s">
        <v>41</v>
      </c>
      <c r="W138" s="77" t="s">
        <v>15</v>
      </c>
      <c r="X138" s="77" t="s">
        <v>15</v>
      </c>
      <c r="Y138" s="77" t="s">
        <v>15</v>
      </c>
      <c r="Z138" s="77" t="s">
        <v>15</v>
      </c>
    </row>
    <row r="139" spans="1:26">
      <c r="A139" s="72">
        <v>138</v>
      </c>
      <c r="B139" s="81" t="s">
        <v>492</v>
      </c>
      <c r="C139" s="85" t="s">
        <v>141</v>
      </c>
      <c r="D139" s="85" t="s">
        <v>141</v>
      </c>
      <c r="E139" s="85" t="s">
        <v>141</v>
      </c>
      <c r="F139" s="74" t="s">
        <v>141</v>
      </c>
      <c r="G139" s="74" t="s">
        <v>134</v>
      </c>
      <c r="H139" s="74" t="s">
        <v>141</v>
      </c>
      <c r="I139" s="75" t="s">
        <v>493</v>
      </c>
      <c r="J139" s="75" t="s">
        <v>494</v>
      </c>
      <c r="K139" s="75" t="s">
        <v>341</v>
      </c>
      <c r="L139" s="84" t="s">
        <v>410</v>
      </c>
      <c r="M139" s="81"/>
      <c r="N139" s="81"/>
      <c r="O139" s="77" t="s">
        <v>15</v>
      </c>
      <c r="P139" s="77" t="s">
        <v>15</v>
      </c>
      <c r="Q139" s="77" t="s">
        <v>15</v>
      </c>
      <c r="R139" s="77" t="s">
        <v>15</v>
      </c>
      <c r="S139" s="77" t="s">
        <v>15</v>
      </c>
      <c r="T139" s="77" t="s">
        <v>15</v>
      </c>
      <c r="U139" s="77" t="s">
        <v>15</v>
      </c>
      <c r="V139" s="78" t="s">
        <v>41</v>
      </c>
      <c r="W139" s="77" t="s">
        <v>15</v>
      </c>
      <c r="X139" s="77" t="s">
        <v>15</v>
      </c>
      <c r="Y139" s="77" t="s">
        <v>15</v>
      </c>
      <c r="Z139" s="77" t="s">
        <v>15</v>
      </c>
    </row>
    <row r="140" spans="1:26">
      <c r="A140" s="72">
        <v>139</v>
      </c>
      <c r="B140" s="81" t="s">
        <v>495</v>
      </c>
      <c r="C140" s="85" t="s">
        <v>141</v>
      </c>
      <c r="D140" s="85" t="s">
        <v>141</v>
      </c>
      <c r="E140" s="85" t="s">
        <v>141</v>
      </c>
      <c r="F140" s="74" t="s">
        <v>141</v>
      </c>
      <c r="G140" s="74" t="s">
        <v>134</v>
      </c>
      <c r="H140" s="74" t="s">
        <v>141</v>
      </c>
      <c r="I140" s="75" t="s">
        <v>496</v>
      </c>
      <c r="J140" s="75" t="s">
        <v>497</v>
      </c>
      <c r="K140" s="75" t="s">
        <v>341</v>
      </c>
      <c r="L140" s="84" t="s">
        <v>410</v>
      </c>
      <c r="M140" s="81"/>
      <c r="N140" s="81"/>
      <c r="O140" s="77" t="s">
        <v>15</v>
      </c>
      <c r="P140" s="77" t="s">
        <v>15</v>
      </c>
      <c r="Q140" s="77" t="s">
        <v>15</v>
      </c>
      <c r="R140" s="77" t="s">
        <v>15</v>
      </c>
      <c r="S140" s="77" t="s">
        <v>15</v>
      </c>
      <c r="T140" s="77" t="s">
        <v>15</v>
      </c>
      <c r="U140" s="77" t="s">
        <v>15</v>
      </c>
      <c r="V140" s="78" t="s">
        <v>41</v>
      </c>
      <c r="W140" s="77" t="s">
        <v>15</v>
      </c>
      <c r="X140" s="77" t="s">
        <v>15</v>
      </c>
      <c r="Y140" s="77" t="s">
        <v>15</v>
      </c>
      <c r="Z140" s="77" t="s">
        <v>15</v>
      </c>
    </row>
    <row r="141" spans="1:26">
      <c r="A141" s="72">
        <v>140</v>
      </c>
      <c r="B141" s="81" t="s">
        <v>498</v>
      </c>
      <c r="C141" s="85" t="s">
        <v>141</v>
      </c>
      <c r="D141" s="85" t="s">
        <v>141</v>
      </c>
      <c r="E141" s="85" t="s">
        <v>141</v>
      </c>
      <c r="F141" s="74" t="s">
        <v>141</v>
      </c>
      <c r="G141" s="74" t="s">
        <v>134</v>
      </c>
      <c r="H141" s="74" t="s">
        <v>141</v>
      </c>
      <c r="I141" s="100" t="s">
        <v>499</v>
      </c>
      <c r="J141" s="100" t="s">
        <v>500</v>
      </c>
      <c r="K141" s="75" t="s">
        <v>341</v>
      </c>
      <c r="L141" s="84" t="s">
        <v>410</v>
      </c>
      <c r="M141" s="81"/>
      <c r="N141" s="81"/>
      <c r="O141" s="77" t="s">
        <v>15</v>
      </c>
      <c r="P141" s="77" t="s">
        <v>15</v>
      </c>
      <c r="Q141" s="77" t="s">
        <v>15</v>
      </c>
      <c r="R141" s="77" t="s">
        <v>15</v>
      </c>
      <c r="S141" s="77" t="s">
        <v>15</v>
      </c>
      <c r="T141" s="77" t="s">
        <v>15</v>
      </c>
      <c r="U141" s="77" t="s">
        <v>15</v>
      </c>
      <c r="V141" s="78" t="s">
        <v>41</v>
      </c>
      <c r="W141" s="77" t="s">
        <v>15</v>
      </c>
      <c r="X141" s="77" t="s">
        <v>15</v>
      </c>
      <c r="Y141" s="77" t="s">
        <v>15</v>
      </c>
      <c r="Z141" s="77" t="s">
        <v>15</v>
      </c>
    </row>
    <row r="142" spans="1:26">
      <c r="A142" s="72">
        <v>141</v>
      </c>
      <c r="B142" s="81" t="s">
        <v>501</v>
      </c>
      <c r="C142" s="85" t="s">
        <v>141</v>
      </c>
      <c r="D142" s="85" t="s">
        <v>141</v>
      </c>
      <c r="E142" s="85" t="s">
        <v>141</v>
      </c>
      <c r="F142" s="74" t="s">
        <v>141</v>
      </c>
      <c r="G142" s="74" t="s">
        <v>134</v>
      </c>
      <c r="H142" s="74" t="s">
        <v>141</v>
      </c>
      <c r="I142" s="100" t="s">
        <v>502</v>
      </c>
      <c r="J142" s="100" t="s">
        <v>503</v>
      </c>
      <c r="K142" s="75" t="s">
        <v>341</v>
      </c>
      <c r="L142" s="84" t="s">
        <v>410</v>
      </c>
      <c r="M142" s="81"/>
      <c r="N142" s="81"/>
      <c r="O142" s="77" t="s">
        <v>15</v>
      </c>
      <c r="P142" s="77" t="s">
        <v>15</v>
      </c>
      <c r="Q142" s="77" t="s">
        <v>15</v>
      </c>
      <c r="R142" s="77" t="s">
        <v>15</v>
      </c>
      <c r="S142" s="77" t="s">
        <v>15</v>
      </c>
      <c r="T142" s="77" t="s">
        <v>15</v>
      </c>
      <c r="U142" s="77" t="s">
        <v>15</v>
      </c>
      <c r="V142" s="78" t="s">
        <v>41</v>
      </c>
      <c r="W142" s="77" t="s">
        <v>15</v>
      </c>
      <c r="X142" s="77" t="s">
        <v>15</v>
      </c>
      <c r="Y142" s="77" t="s">
        <v>15</v>
      </c>
      <c r="Z142" s="77" t="s">
        <v>15</v>
      </c>
    </row>
    <row r="143" spans="1:26">
      <c r="A143" s="72">
        <v>142</v>
      </c>
      <c r="B143" s="81" t="s">
        <v>504</v>
      </c>
      <c r="C143" s="85" t="s">
        <v>141</v>
      </c>
      <c r="D143" s="85" t="s">
        <v>141</v>
      </c>
      <c r="E143" s="85" t="s">
        <v>141</v>
      </c>
      <c r="F143" s="74" t="s">
        <v>141</v>
      </c>
      <c r="G143" s="74" t="s">
        <v>134</v>
      </c>
      <c r="H143" s="74" t="s">
        <v>141</v>
      </c>
      <c r="I143" s="100" t="s">
        <v>505</v>
      </c>
      <c r="J143" s="100" t="s">
        <v>506</v>
      </c>
      <c r="K143" s="75" t="s">
        <v>341</v>
      </c>
      <c r="L143" s="84" t="s">
        <v>410</v>
      </c>
      <c r="M143" s="81"/>
      <c r="N143" s="81"/>
      <c r="O143" s="77" t="s">
        <v>15</v>
      </c>
      <c r="P143" s="77" t="s">
        <v>15</v>
      </c>
      <c r="Q143" s="77" t="s">
        <v>15</v>
      </c>
      <c r="R143" s="77" t="s">
        <v>15</v>
      </c>
      <c r="S143" s="77" t="s">
        <v>15</v>
      </c>
      <c r="T143" s="77" t="s">
        <v>15</v>
      </c>
      <c r="U143" s="77" t="s">
        <v>15</v>
      </c>
      <c r="V143" s="78" t="s">
        <v>41</v>
      </c>
      <c r="W143" s="77" t="s">
        <v>15</v>
      </c>
      <c r="X143" s="77" t="s">
        <v>15</v>
      </c>
      <c r="Y143" s="77" t="s">
        <v>15</v>
      </c>
      <c r="Z143" s="77" t="s">
        <v>15</v>
      </c>
    </row>
    <row r="144" spans="1:26">
      <c r="A144" s="72">
        <v>143</v>
      </c>
      <c r="B144" s="81" t="s">
        <v>507</v>
      </c>
      <c r="C144" s="85" t="s">
        <v>141</v>
      </c>
      <c r="D144" s="85" t="s">
        <v>141</v>
      </c>
      <c r="E144" s="85" t="s">
        <v>141</v>
      </c>
      <c r="F144" s="74" t="s">
        <v>141</v>
      </c>
      <c r="G144" s="74" t="s">
        <v>134</v>
      </c>
      <c r="H144" s="74" t="s">
        <v>141</v>
      </c>
      <c r="I144" s="100" t="s">
        <v>508</v>
      </c>
      <c r="J144" s="100" t="s">
        <v>509</v>
      </c>
      <c r="K144" s="75" t="s">
        <v>341</v>
      </c>
      <c r="L144" s="84" t="s">
        <v>410</v>
      </c>
      <c r="M144" s="81"/>
      <c r="N144" s="81"/>
      <c r="O144" s="77" t="s">
        <v>15</v>
      </c>
      <c r="P144" s="77" t="s">
        <v>15</v>
      </c>
      <c r="Q144" s="77" t="s">
        <v>15</v>
      </c>
      <c r="R144" s="77" t="s">
        <v>15</v>
      </c>
      <c r="S144" s="77" t="s">
        <v>15</v>
      </c>
      <c r="T144" s="77" t="s">
        <v>15</v>
      </c>
      <c r="U144" s="77" t="s">
        <v>15</v>
      </c>
      <c r="V144" s="78" t="s">
        <v>41</v>
      </c>
      <c r="W144" s="77" t="s">
        <v>15</v>
      </c>
      <c r="X144" s="77" t="s">
        <v>15</v>
      </c>
      <c r="Y144" s="77" t="s">
        <v>15</v>
      </c>
      <c r="Z144" s="77" t="s">
        <v>15</v>
      </c>
    </row>
    <row r="145" spans="1:26">
      <c r="A145" s="72">
        <v>144</v>
      </c>
      <c r="B145" s="81" t="s">
        <v>510</v>
      </c>
      <c r="C145" s="85" t="s">
        <v>141</v>
      </c>
      <c r="D145" s="85" t="s">
        <v>141</v>
      </c>
      <c r="E145" s="85" t="s">
        <v>141</v>
      </c>
      <c r="F145" s="74" t="s">
        <v>141</v>
      </c>
      <c r="G145" s="74" t="s">
        <v>134</v>
      </c>
      <c r="H145" s="74" t="s">
        <v>141</v>
      </c>
      <c r="I145" s="100" t="s">
        <v>511</v>
      </c>
      <c r="J145" s="100" t="s">
        <v>512</v>
      </c>
      <c r="K145" s="100" t="s">
        <v>341</v>
      </c>
      <c r="L145" s="84" t="s">
        <v>410</v>
      </c>
      <c r="M145" s="81"/>
      <c r="N145" s="81"/>
      <c r="O145" s="77" t="s">
        <v>15</v>
      </c>
      <c r="P145" s="77" t="s">
        <v>15</v>
      </c>
      <c r="Q145" s="77" t="s">
        <v>15</v>
      </c>
      <c r="R145" s="77" t="s">
        <v>15</v>
      </c>
      <c r="S145" s="77" t="s">
        <v>15</v>
      </c>
      <c r="T145" s="77" t="s">
        <v>15</v>
      </c>
      <c r="U145" s="77" t="s">
        <v>15</v>
      </c>
      <c r="V145" s="78" t="s">
        <v>41</v>
      </c>
      <c r="W145" s="77" t="s">
        <v>15</v>
      </c>
      <c r="X145" s="77" t="s">
        <v>15</v>
      </c>
      <c r="Y145" s="77" t="s">
        <v>15</v>
      </c>
      <c r="Z145" s="77" t="s">
        <v>15</v>
      </c>
    </row>
    <row r="146" spans="1:26">
      <c r="A146" s="72">
        <v>145</v>
      </c>
      <c r="B146" s="81" t="s">
        <v>513</v>
      </c>
      <c r="C146" s="85" t="s">
        <v>141</v>
      </c>
      <c r="D146" s="85" t="s">
        <v>141</v>
      </c>
      <c r="E146" s="85" t="s">
        <v>141</v>
      </c>
      <c r="F146" s="74" t="s">
        <v>141</v>
      </c>
      <c r="G146" s="74" t="s">
        <v>134</v>
      </c>
      <c r="H146" s="74" t="s">
        <v>141</v>
      </c>
      <c r="I146" s="100" t="s">
        <v>514</v>
      </c>
      <c r="J146" s="100" t="s">
        <v>515</v>
      </c>
      <c r="K146" s="100" t="s">
        <v>341</v>
      </c>
      <c r="L146" s="84" t="s">
        <v>410</v>
      </c>
      <c r="M146" s="81"/>
      <c r="N146" s="81"/>
      <c r="O146" s="77" t="s">
        <v>15</v>
      </c>
      <c r="P146" s="77" t="s">
        <v>15</v>
      </c>
      <c r="Q146" s="77" t="s">
        <v>15</v>
      </c>
      <c r="R146" s="77" t="s">
        <v>15</v>
      </c>
      <c r="S146" s="77" t="s">
        <v>15</v>
      </c>
      <c r="T146" s="77" t="s">
        <v>15</v>
      </c>
      <c r="U146" s="77" t="s">
        <v>15</v>
      </c>
      <c r="V146" s="78" t="s">
        <v>41</v>
      </c>
      <c r="W146" s="77" t="s">
        <v>15</v>
      </c>
      <c r="X146" s="77" t="s">
        <v>15</v>
      </c>
      <c r="Y146" s="77" t="s">
        <v>15</v>
      </c>
      <c r="Z146" s="77" t="s">
        <v>15</v>
      </c>
    </row>
    <row r="147" spans="1:26">
      <c r="A147" s="72">
        <v>146</v>
      </c>
      <c r="B147" s="81" t="s">
        <v>516</v>
      </c>
      <c r="C147" s="85" t="s">
        <v>141</v>
      </c>
      <c r="D147" s="85" t="s">
        <v>141</v>
      </c>
      <c r="E147" s="85" t="s">
        <v>141</v>
      </c>
      <c r="F147" s="74" t="s">
        <v>141</v>
      </c>
      <c r="G147" s="74" t="s">
        <v>134</v>
      </c>
      <c r="H147" s="74" t="s">
        <v>141</v>
      </c>
      <c r="I147" s="100" t="s">
        <v>517</v>
      </c>
      <c r="J147" s="100" t="s">
        <v>518</v>
      </c>
      <c r="K147" s="100" t="s">
        <v>341</v>
      </c>
      <c r="L147" s="84" t="s">
        <v>410</v>
      </c>
      <c r="M147" s="81"/>
      <c r="N147" s="81"/>
      <c r="O147" s="77" t="s">
        <v>15</v>
      </c>
      <c r="P147" s="77" t="s">
        <v>15</v>
      </c>
      <c r="Q147" s="77" t="s">
        <v>15</v>
      </c>
      <c r="R147" s="77" t="s">
        <v>15</v>
      </c>
      <c r="S147" s="77" t="s">
        <v>15</v>
      </c>
      <c r="T147" s="77" t="s">
        <v>15</v>
      </c>
      <c r="U147" s="77" t="s">
        <v>15</v>
      </c>
      <c r="V147" s="78" t="s">
        <v>41</v>
      </c>
      <c r="W147" s="77" t="s">
        <v>15</v>
      </c>
      <c r="X147" s="77" t="s">
        <v>15</v>
      </c>
      <c r="Y147" s="77" t="s">
        <v>15</v>
      </c>
      <c r="Z147" s="77" t="s">
        <v>15</v>
      </c>
    </row>
    <row r="148" spans="1:26">
      <c r="A148" s="72">
        <v>147</v>
      </c>
      <c r="B148" s="81" t="s">
        <v>519</v>
      </c>
      <c r="C148" s="85" t="s">
        <v>141</v>
      </c>
      <c r="D148" s="85" t="s">
        <v>141</v>
      </c>
      <c r="E148" s="85" t="s">
        <v>141</v>
      </c>
      <c r="F148" s="74" t="s">
        <v>141</v>
      </c>
      <c r="G148" s="74" t="s">
        <v>134</v>
      </c>
      <c r="H148" s="74" t="s">
        <v>141</v>
      </c>
      <c r="I148" s="100" t="s">
        <v>520</v>
      </c>
      <c r="J148" s="100" t="s">
        <v>521</v>
      </c>
      <c r="K148" s="100" t="s">
        <v>341</v>
      </c>
      <c r="L148" s="84" t="s">
        <v>410</v>
      </c>
      <c r="M148" s="81"/>
      <c r="N148" s="81"/>
      <c r="O148" s="77" t="s">
        <v>15</v>
      </c>
      <c r="P148" s="77" t="s">
        <v>15</v>
      </c>
      <c r="Q148" s="77" t="s">
        <v>15</v>
      </c>
      <c r="R148" s="77" t="s">
        <v>15</v>
      </c>
      <c r="S148" s="77" t="s">
        <v>15</v>
      </c>
      <c r="T148" s="77" t="s">
        <v>15</v>
      </c>
      <c r="U148" s="77" t="s">
        <v>15</v>
      </c>
      <c r="V148" s="78" t="s">
        <v>41</v>
      </c>
      <c r="W148" s="77" t="s">
        <v>15</v>
      </c>
      <c r="X148" s="77" t="s">
        <v>15</v>
      </c>
      <c r="Y148" s="77" t="s">
        <v>15</v>
      </c>
      <c r="Z148" s="77" t="s">
        <v>15</v>
      </c>
    </row>
    <row r="149" spans="1:26">
      <c r="A149" s="72">
        <v>148</v>
      </c>
      <c r="B149" s="81" t="s">
        <v>522</v>
      </c>
      <c r="C149" s="85" t="s">
        <v>141</v>
      </c>
      <c r="D149" s="85" t="s">
        <v>141</v>
      </c>
      <c r="E149" s="85" t="s">
        <v>141</v>
      </c>
      <c r="F149" s="74" t="s">
        <v>141</v>
      </c>
      <c r="G149" s="74" t="s">
        <v>134</v>
      </c>
      <c r="H149" s="74" t="s">
        <v>141</v>
      </c>
      <c r="I149" s="100" t="s">
        <v>523</v>
      </c>
      <c r="J149" s="100" t="s">
        <v>524</v>
      </c>
      <c r="K149" s="100" t="s">
        <v>341</v>
      </c>
      <c r="L149" s="84" t="s">
        <v>410</v>
      </c>
      <c r="M149" s="81"/>
      <c r="N149" s="81"/>
      <c r="O149" s="77" t="s">
        <v>15</v>
      </c>
      <c r="P149" s="77" t="s">
        <v>15</v>
      </c>
      <c r="Q149" s="77" t="s">
        <v>15</v>
      </c>
      <c r="R149" s="77" t="s">
        <v>15</v>
      </c>
      <c r="S149" s="77" t="s">
        <v>15</v>
      </c>
      <c r="T149" s="77" t="s">
        <v>15</v>
      </c>
      <c r="U149" s="77" t="s">
        <v>15</v>
      </c>
      <c r="V149" s="78" t="s">
        <v>41</v>
      </c>
      <c r="W149" s="77" t="s">
        <v>15</v>
      </c>
      <c r="X149" s="77" t="s">
        <v>15</v>
      </c>
      <c r="Y149" s="77" t="s">
        <v>15</v>
      </c>
      <c r="Z149" s="77" t="s">
        <v>15</v>
      </c>
    </row>
    <row r="150" spans="1:26">
      <c r="A150" s="72">
        <v>149</v>
      </c>
      <c r="B150" s="81" t="s">
        <v>525</v>
      </c>
      <c r="C150" s="85" t="s">
        <v>141</v>
      </c>
      <c r="D150" s="85" t="s">
        <v>141</v>
      </c>
      <c r="E150" s="85" t="s">
        <v>141</v>
      </c>
      <c r="F150" s="74" t="s">
        <v>141</v>
      </c>
      <c r="G150" s="74" t="s">
        <v>134</v>
      </c>
      <c r="H150" s="74" t="s">
        <v>141</v>
      </c>
      <c r="I150" s="100" t="s">
        <v>526</v>
      </c>
      <c r="J150" s="100" t="s">
        <v>527</v>
      </c>
      <c r="K150" s="100" t="s">
        <v>341</v>
      </c>
      <c r="L150" s="84" t="s">
        <v>410</v>
      </c>
      <c r="M150" s="81"/>
      <c r="N150" s="81"/>
      <c r="O150" s="77" t="s">
        <v>15</v>
      </c>
      <c r="P150" s="77" t="s">
        <v>15</v>
      </c>
      <c r="Q150" s="77" t="s">
        <v>15</v>
      </c>
      <c r="R150" s="77" t="s">
        <v>15</v>
      </c>
      <c r="S150" s="77" t="s">
        <v>15</v>
      </c>
      <c r="T150" s="77" t="s">
        <v>15</v>
      </c>
      <c r="U150" s="77" t="s">
        <v>15</v>
      </c>
      <c r="V150" s="78" t="s">
        <v>41</v>
      </c>
      <c r="W150" s="77" t="s">
        <v>15</v>
      </c>
      <c r="X150" s="77" t="s">
        <v>15</v>
      </c>
      <c r="Y150" s="77" t="s">
        <v>15</v>
      </c>
      <c r="Z150" s="77" t="s">
        <v>15</v>
      </c>
    </row>
    <row r="151" spans="1:26">
      <c r="A151" s="72">
        <v>150</v>
      </c>
      <c r="B151" s="81" t="s">
        <v>528</v>
      </c>
      <c r="C151" s="85" t="s">
        <v>141</v>
      </c>
      <c r="D151" s="85" t="s">
        <v>141</v>
      </c>
      <c r="E151" s="85" t="s">
        <v>141</v>
      </c>
      <c r="F151" s="74" t="s">
        <v>141</v>
      </c>
      <c r="G151" s="74" t="s">
        <v>134</v>
      </c>
      <c r="H151" s="74" t="s">
        <v>141</v>
      </c>
      <c r="I151" s="100" t="s">
        <v>529</v>
      </c>
      <c r="J151" s="100" t="s">
        <v>530</v>
      </c>
      <c r="K151" s="100" t="s">
        <v>341</v>
      </c>
      <c r="L151" s="84" t="s">
        <v>410</v>
      </c>
      <c r="M151" s="81"/>
      <c r="N151" s="81"/>
      <c r="O151" s="77" t="s">
        <v>15</v>
      </c>
      <c r="P151" s="77" t="s">
        <v>15</v>
      </c>
      <c r="Q151" s="77" t="s">
        <v>15</v>
      </c>
      <c r="R151" s="77" t="s">
        <v>15</v>
      </c>
      <c r="S151" s="77" t="s">
        <v>15</v>
      </c>
      <c r="T151" s="77" t="s">
        <v>15</v>
      </c>
      <c r="U151" s="77" t="s">
        <v>15</v>
      </c>
      <c r="V151" s="78" t="s">
        <v>41</v>
      </c>
      <c r="W151" s="77" t="s">
        <v>15</v>
      </c>
      <c r="X151" s="77" t="s">
        <v>15</v>
      </c>
      <c r="Y151" s="77" t="s">
        <v>15</v>
      </c>
      <c r="Z151" s="77" t="s">
        <v>15</v>
      </c>
    </row>
    <row r="152" spans="1:26">
      <c r="A152" s="72">
        <v>151</v>
      </c>
      <c r="B152" s="81" t="s">
        <v>531</v>
      </c>
      <c r="C152" s="85" t="s">
        <v>141</v>
      </c>
      <c r="D152" s="85" t="s">
        <v>141</v>
      </c>
      <c r="E152" s="85" t="s">
        <v>141</v>
      </c>
      <c r="F152" s="74" t="s">
        <v>134</v>
      </c>
      <c r="G152" s="74" t="s">
        <v>141</v>
      </c>
      <c r="H152" s="74" t="s">
        <v>141</v>
      </c>
      <c r="I152" s="100" t="s">
        <v>532</v>
      </c>
      <c r="J152" s="100" t="s">
        <v>533</v>
      </c>
      <c r="K152" s="100" t="s">
        <v>341</v>
      </c>
      <c r="L152" s="84" t="s">
        <v>410</v>
      </c>
      <c r="M152" s="81"/>
      <c r="N152" s="81"/>
      <c r="O152" s="77" t="s">
        <v>15</v>
      </c>
      <c r="P152" s="77" t="s">
        <v>15</v>
      </c>
      <c r="Q152" s="77" t="s">
        <v>15</v>
      </c>
      <c r="R152" s="77" t="s">
        <v>15</v>
      </c>
      <c r="S152" s="77" t="s">
        <v>15</v>
      </c>
      <c r="T152" s="77" t="s">
        <v>15</v>
      </c>
      <c r="U152" s="78" t="s">
        <v>41</v>
      </c>
      <c r="V152" s="77" t="s">
        <v>15</v>
      </c>
      <c r="W152" s="77" t="s">
        <v>15</v>
      </c>
      <c r="X152" s="77" t="s">
        <v>15</v>
      </c>
      <c r="Y152" s="77" t="s">
        <v>15</v>
      </c>
      <c r="Z152" s="77" t="s">
        <v>15</v>
      </c>
    </row>
    <row r="153" spans="1:26">
      <c r="A153" s="72">
        <v>152</v>
      </c>
      <c r="B153" s="81" t="s">
        <v>534</v>
      </c>
      <c r="C153" s="85" t="s">
        <v>141</v>
      </c>
      <c r="D153" s="85" t="s">
        <v>141</v>
      </c>
      <c r="E153" s="85" t="s">
        <v>141</v>
      </c>
      <c r="F153" s="74" t="s">
        <v>134</v>
      </c>
      <c r="G153" s="74" t="s">
        <v>141</v>
      </c>
      <c r="H153" s="74" t="s">
        <v>141</v>
      </c>
      <c r="I153" s="100" t="s">
        <v>535</v>
      </c>
      <c r="J153" s="100" t="s">
        <v>536</v>
      </c>
      <c r="K153" s="100" t="s">
        <v>341</v>
      </c>
      <c r="L153" s="84" t="s">
        <v>410</v>
      </c>
      <c r="M153" s="81"/>
      <c r="N153" s="81"/>
      <c r="O153" s="77" t="s">
        <v>15</v>
      </c>
      <c r="P153" s="77" t="s">
        <v>15</v>
      </c>
      <c r="Q153" s="77" t="s">
        <v>15</v>
      </c>
      <c r="R153" s="77" t="s">
        <v>15</v>
      </c>
      <c r="S153" s="77" t="s">
        <v>15</v>
      </c>
      <c r="T153" s="77" t="s">
        <v>15</v>
      </c>
      <c r="U153" s="78" t="s">
        <v>41</v>
      </c>
      <c r="V153" s="77" t="s">
        <v>15</v>
      </c>
      <c r="W153" s="77" t="s">
        <v>15</v>
      </c>
      <c r="X153" s="77" t="s">
        <v>15</v>
      </c>
      <c r="Y153" s="77" t="s">
        <v>15</v>
      </c>
      <c r="Z153" s="77" t="s">
        <v>15</v>
      </c>
    </row>
    <row r="154" spans="1:26">
      <c r="A154" s="72">
        <v>153</v>
      </c>
      <c r="B154" s="81" t="s">
        <v>537</v>
      </c>
      <c r="C154" s="85" t="s">
        <v>141</v>
      </c>
      <c r="D154" s="85" t="s">
        <v>141</v>
      </c>
      <c r="E154" s="85" t="s">
        <v>141</v>
      </c>
      <c r="F154" s="74" t="s">
        <v>134</v>
      </c>
      <c r="G154" s="74" t="s">
        <v>141</v>
      </c>
      <c r="H154" s="74" t="s">
        <v>141</v>
      </c>
      <c r="I154" s="100" t="s">
        <v>538</v>
      </c>
      <c r="J154" s="100" t="s">
        <v>539</v>
      </c>
      <c r="K154" s="100" t="s">
        <v>341</v>
      </c>
      <c r="L154" s="84" t="s">
        <v>410</v>
      </c>
      <c r="M154" s="81"/>
      <c r="N154" s="81"/>
      <c r="O154" s="77" t="s">
        <v>15</v>
      </c>
      <c r="P154" s="77" t="s">
        <v>15</v>
      </c>
      <c r="Q154" s="77" t="s">
        <v>15</v>
      </c>
      <c r="R154" s="77" t="s">
        <v>15</v>
      </c>
      <c r="S154" s="77" t="s">
        <v>15</v>
      </c>
      <c r="T154" s="77" t="s">
        <v>15</v>
      </c>
      <c r="U154" s="78" t="s">
        <v>41</v>
      </c>
      <c r="V154" s="77" t="s">
        <v>15</v>
      </c>
      <c r="W154" s="77" t="s">
        <v>15</v>
      </c>
      <c r="X154" s="77" t="s">
        <v>15</v>
      </c>
      <c r="Y154" s="77" t="s">
        <v>15</v>
      </c>
      <c r="Z154" s="77" t="s">
        <v>15</v>
      </c>
    </row>
    <row r="155" spans="1:26">
      <c r="A155" s="72">
        <v>154</v>
      </c>
      <c r="B155" s="81" t="s">
        <v>540</v>
      </c>
      <c r="C155" s="85" t="s">
        <v>141</v>
      </c>
      <c r="D155" s="85" t="s">
        <v>141</v>
      </c>
      <c r="E155" s="85" t="s">
        <v>141</v>
      </c>
      <c r="F155" s="74" t="s">
        <v>134</v>
      </c>
      <c r="G155" s="74" t="s">
        <v>141</v>
      </c>
      <c r="H155" s="74" t="s">
        <v>141</v>
      </c>
      <c r="I155" s="100" t="s">
        <v>541</v>
      </c>
      <c r="J155" s="100" t="s">
        <v>542</v>
      </c>
      <c r="K155" s="100" t="s">
        <v>341</v>
      </c>
      <c r="L155" s="84" t="s">
        <v>410</v>
      </c>
      <c r="M155" s="81"/>
      <c r="N155" s="81"/>
      <c r="O155" s="77" t="s">
        <v>15</v>
      </c>
      <c r="P155" s="77" t="s">
        <v>15</v>
      </c>
      <c r="Q155" s="77" t="s">
        <v>15</v>
      </c>
      <c r="R155" s="77" t="s">
        <v>15</v>
      </c>
      <c r="S155" s="77" t="s">
        <v>15</v>
      </c>
      <c r="T155" s="77" t="s">
        <v>15</v>
      </c>
      <c r="U155" s="78" t="s">
        <v>41</v>
      </c>
      <c r="V155" s="77" t="s">
        <v>15</v>
      </c>
      <c r="W155" s="77" t="s">
        <v>15</v>
      </c>
      <c r="X155" s="77" t="s">
        <v>15</v>
      </c>
      <c r="Y155" s="77" t="s">
        <v>15</v>
      </c>
      <c r="Z155" s="77" t="s">
        <v>15</v>
      </c>
    </row>
    <row r="156" spans="1:26">
      <c r="A156" s="72">
        <v>155</v>
      </c>
      <c r="B156" s="81" t="s">
        <v>543</v>
      </c>
      <c r="C156" s="85" t="s">
        <v>141</v>
      </c>
      <c r="D156" s="85" t="s">
        <v>141</v>
      </c>
      <c r="E156" s="85" t="s">
        <v>134</v>
      </c>
      <c r="F156" s="74" t="s">
        <v>141</v>
      </c>
      <c r="G156" s="74" t="s">
        <v>141</v>
      </c>
      <c r="H156" s="74" t="s">
        <v>141</v>
      </c>
      <c r="I156" s="100" t="s">
        <v>544</v>
      </c>
      <c r="J156" s="100" t="s">
        <v>545</v>
      </c>
      <c r="K156" s="100" t="s">
        <v>341</v>
      </c>
      <c r="L156" s="84" t="s">
        <v>410</v>
      </c>
      <c r="M156" s="81"/>
      <c r="N156" s="81"/>
      <c r="O156" s="77" t="s">
        <v>15</v>
      </c>
      <c r="P156" s="77" t="s">
        <v>15</v>
      </c>
      <c r="Q156" s="77" t="s">
        <v>15</v>
      </c>
      <c r="R156" s="77" t="s">
        <v>15</v>
      </c>
      <c r="S156" s="77" t="s">
        <v>15</v>
      </c>
      <c r="T156" s="77" t="s">
        <v>15</v>
      </c>
      <c r="U156" s="77" t="s">
        <v>15</v>
      </c>
      <c r="V156" s="77" t="s">
        <v>15</v>
      </c>
      <c r="W156" s="77" t="s">
        <v>15</v>
      </c>
      <c r="X156" s="78" t="s">
        <v>41</v>
      </c>
      <c r="Y156" s="77" t="s">
        <v>15</v>
      </c>
      <c r="Z156" s="77" t="s">
        <v>15</v>
      </c>
    </row>
    <row r="157" spans="1:26">
      <c r="A157" s="72">
        <v>156</v>
      </c>
      <c r="B157" s="81" t="s">
        <v>546</v>
      </c>
      <c r="C157" s="85" t="s">
        <v>141</v>
      </c>
      <c r="D157" s="85" t="s">
        <v>141</v>
      </c>
      <c r="E157" s="85" t="s">
        <v>134</v>
      </c>
      <c r="F157" s="74" t="s">
        <v>141</v>
      </c>
      <c r="G157" s="74" t="s">
        <v>141</v>
      </c>
      <c r="H157" s="74" t="s">
        <v>141</v>
      </c>
      <c r="I157" s="100" t="s">
        <v>547</v>
      </c>
      <c r="J157" s="100" t="s">
        <v>548</v>
      </c>
      <c r="K157" s="100" t="s">
        <v>341</v>
      </c>
      <c r="L157" s="84" t="s">
        <v>410</v>
      </c>
      <c r="M157" s="81"/>
      <c r="N157" s="81"/>
      <c r="O157" s="77" t="s">
        <v>15</v>
      </c>
      <c r="P157" s="77" t="s">
        <v>15</v>
      </c>
      <c r="Q157" s="77" t="s">
        <v>15</v>
      </c>
      <c r="R157" s="77" t="s">
        <v>15</v>
      </c>
      <c r="S157" s="77" t="s">
        <v>15</v>
      </c>
      <c r="T157" s="77" t="s">
        <v>15</v>
      </c>
      <c r="U157" s="77" t="s">
        <v>15</v>
      </c>
      <c r="V157" s="77" t="s">
        <v>15</v>
      </c>
      <c r="W157" s="77" t="s">
        <v>15</v>
      </c>
      <c r="X157" s="78" t="s">
        <v>41</v>
      </c>
      <c r="Y157" s="77" t="s">
        <v>15</v>
      </c>
      <c r="Z157" s="77" t="s">
        <v>15</v>
      </c>
    </row>
    <row r="158" spans="1:26">
      <c r="A158" s="72">
        <v>157</v>
      </c>
      <c r="B158" s="81" t="s">
        <v>549</v>
      </c>
      <c r="C158" s="85" t="s">
        <v>141</v>
      </c>
      <c r="D158" s="85" t="s">
        <v>141</v>
      </c>
      <c r="E158" s="85" t="s">
        <v>134</v>
      </c>
      <c r="F158" s="74" t="s">
        <v>141</v>
      </c>
      <c r="G158" s="74" t="s">
        <v>141</v>
      </c>
      <c r="H158" s="74" t="s">
        <v>141</v>
      </c>
      <c r="I158" s="100" t="s">
        <v>550</v>
      </c>
      <c r="J158" s="100" t="s">
        <v>551</v>
      </c>
      <c r="K158" s="100" t="s">
        <v>341</v>
      </c>
      <c r="L158" s="84" t="s">
        <v>410</v>
      </c>
      <c r="M158" s="81"/>
      <c r="N158" s="81"/>
      <c r="O158" s="77" t="s">
        <v>15</v>
      </c>
      <c r="P158" s="77" t="s">
        <v>15</v>
      </c>
      <c r="Q158" s="77" t="s">
        <v>15</v>
      </c>
      <c r="R158" s="77" t="s">
        <v>15</v>
      </c>
      <c r="S158" s="77" t="s">
        <v>15</v>
      </c>
      <c r="T158" s="77" t="s">
        <v>15</v>
      </c>
      <c r="U158" s="77" t="s">
        <v>15</v>
      </c>
      <c r="V158" s="77" t="s">
        <v>15</v>
      </c>
      <c r="W158" s="77" t="s">
        <v>15</v>
      </c>
      <c r="X158" s="78" t="s">
        <v>41</v>
      </c>
      <c r="Y158" s="77" t="s">
        <v>15</v>
      </c>
      <c r="Z158" s="77" t="s">
        <v>15</v>
      </c>
    </row>
    <row r="159" spans="1:26">
      <c r="A159" s="72">
        <v>158</v>
      </c>
      <c r="B159" s="81" t="s">
        <v>552</v>
      </c>
      <c r="C159" s="85" t="s">
        <v>141</v>
      </c>
      <c r="D159" s="85" t="s">
        <v>141</v>
      </c>
      <c r="E159" s="85" t="s">
        <v>134</v>
      </c>
      <c r="F159" s="74" t="s">
        <v>141</v>
      </c>
      <c r="G159" s="74" t="s">
        <v>141</v>
      </c>
      <c r="H159" s="74" t="s">
        <v>141</v>
      </c>
      <c r="I159" s="100" t="s">
        <v>553</v>
      </c>
      <c r="J159" s="100" t="s">
        <v>554</v>
      </c>
      <c r="K159" s="100" t="s">
        <v>341</v>
      </c>
      <c r="L159" s="84" t="s">
        <v>410</v>
      </c>
      <c r="M159" s="81"/>
      <c r="N159" s="81"/>
      <c r="O159" s="77" t="s">
        <v>15</v>
      </c>
      <c r="P159" s="77" t="s">
        <v>15</v>
      </c>
      <c r="Q159" s="77" t="s">
        <v>15</v>
      </c>
      <c r="R159" s="77" t="s">
        <v>15</v>
      </c>
      <c r="S159" s="77" t="s">
        <v>15</v>
      </c>
      <c r="T159" s="77" t="s">
        <v>15</v>
      </c>
      <c r="U159" s="77" t="s">
        <v>15</v>
      </c>
      <c r="V159" s="77" t="s">
        <v>15</v>
      </c>
      <c r="W159" s="77" t="s">
        <v>15</v>
      </c>
      <c r="X159" s="78" t="s">
        <v>41</v>
      </c>
      <c r="Y159" s="77" t="s">
        <v>15</v>
      </c>
      <c r="Z159" s="77" t="s">
        <v>15</v>
      </c>
    </row>
    <row r="160" spans="1:26">
      <c r="A160" s="72">
        <v>159</v>
      </c>
      <c r="B160" s="81" t="s">
        <v>555</v>
      </c>
      <c r="C160" s="85" t="s">
        <v>141</v>
      </c>
      <c r="D160" s="85" t="s">
        <v>141</v>
      </c>
      <c r="E160" s="85" t="s">
        <v>134</v>
      </c>
      <c r="F160" s="74" t="s">
        <v>141</v>
      </c>
      <c r="G160" s="74" t="s">
        <v>141</v>
      </c>
      <c r="H160" s="74" t="s">
        <v>141</v>
      </c>
      <c r="I160" s="100" t="s">
        <v>556</v>
      </c>
      <c r="J160" s="100" t="s">
        <v>557</v>
      </c>
      <c r="K160" s="100" t="s">
        <v>341</v>
      </c>
      <c r="L160" s="84" t="s">
        <v>410</v>
      </c>
      <c r="M160" s="81"/>
      <c r="N160" s="81"/>
      <c r="O160" s="77" t="s">
        <v>15</v>
      </c>
      <c r="P160" s="77" t="s">
        <v>15</v>
      </c>
      <c r="Q160" s="77" t="s">
        <v>15</v>
      </c>
      <c r="R160" s="77" t="s">
        <v>15</v>
      </c>
      <c r="S160" s="77" t="s">
        <v>15</v>
      </c>
      <c r="T160" s="77" t="s">
        <v>15</v>
      </c>
      <c r="U160" s="77" t="s">
        <v>15</v>
      </c>
      <c r="V160" s="77" t="s">
        <v>15</v>
      </c>
      <c r="W160" s="77" t="s">
        <v>15</v>
      </c>
      <c r="X160" s="78" t="s">
        <v>41</v>
      </c>
      <c r="Y160" s="77" t="s">
        <v>15</v>
      </c>
      <c r="Z160" s="77" t="s">
        <v>15</v>
      </c>
    </row>
    <row r="161" spans="1:26">
      <c r="A161" s="72">
        <v>160</v>
      </c>
      <c r="B161" s="81" t="s">
        <v>558</v>
      </c>
      <c r="C161" s="85" t="s">
        <v>141</v>
      </c>
      <c r="D161" s="85" t="s">
        <v>141</v>
      </c>
      <c r="E161" s="85" t="s">
        <v>134</v>
      </c>
      <c r="F161" s="74" t="s">
        <v>141</v>
      </c>
      <c r="G161" s="74" t="s">
        <v>141</v>
      </c>
      <c r="H161" s="74" t="s">
        <v>141</v>
      </c>
      <c r="I161" s="100" t="s">
        <v>559</v>
      </c>
      <c r="J161" s="100" t="s">
        <v>560</v>
      </c>
      <c r="K161" s="100" t="s">
        <v>341</v>
      </c>
      <c r="L161" s="84" t="s">
        <v>410</v>
      </c>
      <c r="M161" s="81"/>
      <c r="N161" s="81"/>
      <c r="O161" s="77" t="s">
        <v>15</v>
      </c>
      <c r="P161" s="77" t="s">
        <v>15</v>
      </c>
      <c r="Q161" s="77" t="s">
        <v>15</v>
      </c>
      <c r="R161" s="77" t="s">
        <v>15</v>
      </c>
      <c r="S161" s="77" t="s">
        <v>15</v>
      </c>
      <c r="T161" s="77" t="s">
        <v>15</v>
      </c>
      <c r="U161" s="77" t="s">
        <v>15</v>
      </c>
      <c r="V161" s="77" t="s">
        <v>15</v>
      </c>
      <c r="W161" s="77" t="s">
        <v>15</v>
      </c>
      <c r="X161" s="78" t="s">
        <v>41</v>
      </c>
      <c r="Y161" s="77" t="s">
        <v>15</v>
      </c>
      <c r="Z161" s="77" t="s">
        <v>15</v>
      </c>
    </row>
    <row r="162" spans="1:26">
      <c r="A162" s="72">
        <v>161</v>
      </c>
      <c r="B162" s="81" t="s">
        <v>561</v>
      </c>
      <c r="C162" s="85" t="s">
        <v>141</v>
      </c>
      <c r="D162" s="85" t="s">
        <v>141</v>
      </c>
      <c r="E162" s="85" t="s">
        <v>134</v>
      </c>
      <c r="F162" s="74" t="s">
        <v>141</v>
      </c>
      <c r="G162" s="74" t="s">
        <v>141</v>
      </c>
      <c r="H162" s="74" t="s">
        <v>141</v>
      </c>
      <c r="I162" s="100" t="s">
        <v>562</v>
      </c>
      <c r="J162" s="100" t="s">
        <v>563</v>
      </c>
      <c r="K162" s="100" t="s">
        <v>341</v>
      </c>
      <c r="L162" s="84" t="s">
        <v>410</v>
      </c>
      <c r="M162" s="81"/>
      <c r="N162" s="81"/>
      <c r="O162" s="77" t="s">
        <v>15</v>
      </c>
      <c r="P162" s="77" t="s">
        <v>15</v>
      </c>
      <c r="Q162" s="77" t="s">
        <v>15</v>
      </c>
      <c r="R162" s="77" t="s">
        <v>15</v>
      </c>
      <c r="S162" s="77" t="s">
        <v>15</v>
      </c>
      <c r="T162" s="77" t="s">
        <v>15</v>
      </c>
      <c r="U162" s="77" t="s">
        <v>15</v>
      </c>
      <c r="V162" s="77" t="s">
        <v>15</v>
      </c>
      <c r="W162" s="77" t="s">
        <v>15</v>
      </c>
      <c r="X162" s="78" t="s">
        <v>41</v>
      </c>
      <c r="Y162" s="77" t="s">
        <v>15</v>
      </c>
      <c r="Z162" s="77" t="s">
        <v>15</v>
      </c>
    </row>
    <row r="163" spans="1:26">
      <c r="A163" s="72">
        <v>162</v>
      </c>
      <c r="B163" s="81" t="s">
        <v>564</v>
      </c>
      <c r="C163" s="85" t="s">
        <v>141</v>
      </c>
      <c r="D163" s="85" t="s">
        <v>141</v>
      </c>
      <c r="E163" s="85" t="s">
        <v>134</v>
      </c>
      <c r="F163" s="74" t="s">
        <v>141</v>
      </c>
      <c r="G163" s="74" t="s">
        <v>141</v>
      </c>
      <c r="H163" s="74" t="s">
        <v>141</v>
      </c>
      <c r="I163" s="100" t="s">
        <v>565</v>
      </c>
      <c r="J163" s="100" t="s">
        <v>566</v>
      </c>
      <c r="K163" s="100" t="s">
        <v>341</v>
      </c>
      <c r="L163" s="84" t="s">
        <v>410</v>
      </c>
      <c r="M163" s="81"/>
      <c r="N163" s="81"/>
      <c r="O163" s="77" t="s">
        <v>15</v>
      </c>
      <c r="P163" s="77" t="s">
        <v>15</v>
      </c>
      <c r="Q163" s="77" t="s">
        <v>15</v>
      </c>
      <c r="R163" s="77" t="s">
        <v>15</v>
      </c>
      <c r="S163" s="77" t="s">
        <v>15</v>
      </c>
      <c r="T163" s="77" t="s">
        <v>15</v>
      </c>
      <c r="U163" s="77" t="s">
        <v>15</v>
      </c>
      <c r="V163" s="77" t="s">
        <v>15</v>
      </c>
      <c r="W163" s="77" t="s">
        <v>15</v>
      </c>
      <c r="X163" s="78" t="s">
        <v>41</v>
      </c>
      <c r="Y163" s="77" t="s">
        <v>15</v>
      </c>
      <c r="Z163" s="77" t="s">
        <v>15</v>
      </c>
    </row>
    <row r="164" spans="1:26">
      <c r="A164" s="72">
        <v>163</v>
      </c>
      <c r="B164" s="81" t="s">
        <v>567</v>
      </c>
      <c r="C164" s="85" t="s">
        <v>141</v>
      </c>
      <c r="D164" s="85" t="s">
        <v>141</v>
      </c>
      <c r="E164" s="85" t="s">
        <v>134</v>
      </c>
      <c r="F164" s="74" t="s">
        <v>141</v>
      </c>
      <c r="G164" s="74" t="s">
        <v>141</v>
      </c>
      <c r="H164" s="74" t="s">
        <v>141</v>
      </c>
      <c r="I164" s="100" t="s">
        <v>568</v>
      </c>
      <c r="J164" s="100" t="s">
        <v>569</v>
      </c>
      <c r="K164" s="100" t="s">
        <v>341</v>
      </c>
      <c r="L164" s="84" t="s">
        <v>410</v>
      </c>
      <c r="M164" s="81"/>
      <c r="N164" s="81"/>
      <c r="O164" s="77" t="s">
        <v>15</v>
      </c>
      <c r="P164" s="77" t="s">
        <v>15</v>
      </c>
      <c r="Q164" s="77" t="s">
        <v>15</v>
      </c>
      <c r="R164" s="77" t="s">
        <v>15</v>
      </c>
      <c r="S164" s="77" t="s">
        <v>15</v>
      </c>
      <c r="T164" s="77" t="s">
        <v>15</v>
      </c>
      <c r="U164" s="77" t="s">
        <v>15</v>
      </c>
      <c r="V164" s="77" t="s">
        <v>15</v>
      </c>
      <c r="W164" s="77" t="s">
        <v>15</v>
      </c>
      <c r="X164" s="78" t="s">
        <v>41</v>
      </c>
      <c r="Y164" s="77" t="s">
        <v>15</v>
      </c>
      <c r="Z164" s="77" t="s">
        <v>15</v>
      </c>
    </row>
    <row r="165" spans="1:26">
      <c r="A165" s="72">
        <v>164</v>
      </c>
      <c r="B165" s="81" t="s">
        <v>570</v>
      </c>
      <c r="C165" s="85" t="s">
        <v>141</v>
      </c>
      <c r="D165" s="85" t="s">
        <v>141</v>
      </c>
      <c r="E165" s="85" t="s">
        <v>134</v>
      </c>
      <c r="F165" s="74" t="s">
        <v>141</v>
      </c>
      <c r="G165" s="74" t="s">
        <v>141</v>
      </c>
      <c r="H165" s="74" t="s">
        <v>141</v>
      </c>
      <c r="I165" s="100" t="s">
        <v>571</v>
      </c>
      <c r="J165" s="100" t="s">
        <v>572</v>
      </c>
      <c r="K165" s="100" t="s">
        <v>341</v>
      </c>
      <c r="L165" s="84" t="s">
        <v>410</v>
      </c>
      <c r="M165" s="81"/>
      <c r="N165" s="81"/>
      <c r="O165" s="77" t="s">
        <v>15</v>
      </c>
      <c r="P165" s="77" t="s">
        <v>15</v>
      </c>
      <c r="Q165" s="77" t="s">
        <v>15</v>
      </c>
      <c r="R165" s="77" t="s">
        <v>15</v>
      </c>
      <c r="S165" s="77" t="s">
        <v>15</v>
      </c>
      <c r="T165" s="77" t="s">
        <v>15</v>
      </c>
      <c r="U165" s="77" t="s">
        <v>15</v>
      </c>
      <c r="V165" s="77" t="s">
        <v>15</v>
      </c>
      <c r="W165" s="77" t="s">
        <v>15</v>
      </c>
      <c r="X165" s="78" t="s">
        <v>41</v>
      </c>
      <c r="Y165" s="77" t="s">
        <v>15</v>
      </c>
      <c r="Z165" s="77" t="s">
        <v>15</v>
      </c>
    </row>
    <row r="166" spans="1:26">
      <c r="A166" s="72">
        <v>165</v>
      </c>
      <c r="B166" s="81" t="s">
        <v>573</v>
      </c>
      <c r="C166" s="85" t="s">
        <v>141</v>
      </c>
      <c r="D166" s="85" t="s">
        <v>141</v>
      </c>
      <c r="E166" s="85" t="s">
        <v>134</v>
      </c>
      <c r="F166" s="74" t="s">
        <v>141</v>
      </c>
      <c r="G166" s="74" t="s">
        <v>141</v>
      </c>
      <c r="H166" s="74" t="s">
        <v>141</v>
      </c>
      <c r="I166" s="100" t="s">
        <v>574</v>
      </c>
      <c r="J166" s="100" t="s">
        <v>575</v>
      </c>
      <c r="K166" s="100" t="s">
        <v>341</v>
      </c>
      <c r="L166" s="84" t="s">
        <v>410</v>
      </c>
      <c r="M166" s="81"/>
      <c r="N166" s="81"/>
      <c r="O166" s="77" t="s">
        <v>15</v>
      </c>
      <c r="P166" s="77" t="s">
        <v>15</v>
      </c>
      <c r="Q166" s="77" t="s">
        <v>15</v>
      </c>
      <c r="R166" s="77" t="s">
        <v>15</v>
      </c>
      <c r="S166" s="77" t="s">
        <v>15</v>
      </c>
      <c r="T166" s="77" t="s">
        <v>15</v>
      </c>
      <c r="U166" s="77" t="s">
        <v>15</v>
      </c>
      <c r="V166" s="77" t="s">
        <v>15</v>
      </c>
      <c r="W166" s="77" t="s">
        <v>15</v>
      </c>
      <c r="X166" s="78" t="s">
        <v>41</v>
      </c>
      <c r="Y166" s="77" t="s">
        <v>15</v>
      </c>
      <c r="Z166" s="77" t="s">
        <v>15</v>
      </c>
    </row>
    <row r="167" spans="1:26">
      <c r="A167" s="72">
        <v>166</v>
      </c>
      <c r="B167" s="81" t="s">
        <v>576</v>
      </c>
      <c r="C167" s="85" t="s">
        <v>141</v>
      </c>
      <c r="D167" s="85" t="s">
        <v>141</v>
      </c>
      <c r="E167" s="85" t="s">
        <v>134</v>
      </c>
      <c r="F167" s="74" t="s">
        <v>141</v>
      </c>
      <c r="G167" s="74" t="s">
        <v>141</v>
      </c>
      <c r="H167" s="74" t="s">
        <v>141</v>
      </c>
      <c r="I167" s="100" t="s">
        <v>577</v>
      </c>
      <c r="J167" s="100" t="s">
        <v>578</v>
      </c>
      <c r="K167" s="100" t="s">
        <v>341</v>
      </c>
      <c r="L167" s="84" t="s">
        <v>410</v>
      </c>
      <c r="M167" s="81"/>
      <c r="N167" s="81"/>
      <c r="O167" s="77" t="s">
        <v>15</v>
      </c>
      <c r="P167" s="77" t="s">
        <v>15</v>
      </c>
      <c r="Q167" s="77" t="s">
        <v>15</v>
      </c>
      <c r="R167" s="77" t="s">
        <v>15</v>
      </c>
      <c r="S167" s="77" t="s">
        <v>15</v>
      </c>
      <c r="T167" s="77" t="s">
        <v>15</v>
      </c>
      <c r="U167" s="77" t="s">
        <v>15</v>
      </c>
      <c r="V167" s="77" t="s">
        <v>15</v>
      </c>
      <c r="W167" s="77" t="s">
        <v>15</v>
      </c>
      <c r="X167" s="78" t="s">
        <v>41</v>
      </c>
      <c r="Y167" s="77" t="s">
        <v>15</v>
      </c>
      <c r="Z167" s="77" t="s">
        <v>15</v>
      </c>
    </row>
    <row r="168" spans="1:26">
      <c r="A168" s="72">
        <v>167</v>
      </c>
      <c r="B168" s="81" t="s">
        <v>579</v>
      </c>
      <c r="C168" s="85" t="s">
        <v>141</v>
      </c>
      <c r="D168" s="85" t="s">
        <v>141</v>
      </c>
      <c r="E168" s="85" t="s">
        <v>134</v>
      </c>
      <c r="F168" s="74" t="s">
        <v>141</v>
      </c>
      <c r="G168" s="74" t="s">
        <v>141</v>
      </c>
      <c r="H168" s="74" t="s">
        <v>141</v>
      </c>
      <c r="I168" s="100" t="s">
        <v>580</v>
      </c>
      <c r="J168" s="100" t="s">
        <v>581</v>
      </c>
      <c r="K168" s="100" t="s">
        <v>341</v>
      </c>
      <c r="L168" s="84" t="s">
        <v>410</v>
      </c>
      <c r="M168" s="81"/>
      <c r="N168" s="81"/>
      <c r="O168" s="77" t="s">
        <v>15</v>
      </c>
      <c r="P168" s="77" t="s">
        <v>15</v>
      </c>
      <c r="Q168" s="77" t="s">
        <v>15</v>
      </c>
      <c r="R168" s="77" t="s">
        <v>15</v>
      </c>
      <c r="S168" s="77" t="s">
        <v>15</v>
      </c>
      <c r="T168" s="77" t="s">
        <v>15</v>
      </c>
      <c r="U168" s="77" t="s">
        <v>15</v>
      </c>
      <c r="V168" s="77" t="s">
        <v>15</v>
      </c>
      <c r="W168" s="77" t="s">
        <v>15</v>
      </c>
      <c r="X168" s="78" t="s">
        <v>41</v>
      </c>
      <c r="Y168" s="77" t="s">
        <v>15</v>
      </c>
      <c r="Z168" s="77" t="s">
        <v>15</v>
      </c>
    </row>
    <row r="169" spans="1:26">
      <c r="A169" s="72">
        <v>168</v>
      </c>
      <c r="B169" s="81" t="s">
        <v>582</v>
      </c>
      <c r="C169" s="85" t="s">
        <v>141</v>
      </c>
      <c r="D169" s="85" t="s">
        <v>141</v>
      </c>
      <c r="E169" s="85" t="s">
        <v>134</v>
      </c>
      <c r="F169" s="74" t="s">
        <v>141</v>
      </c>
      <c r="G169" s="74" t="s">
        <v>141</v>
      </c>
      <c r="H169" s="74" t="s">
        <v>141</v>
      </c>
      <c r="I169" s="100" t="s">
        <v>583</v>
      </c>
      <c r="J169" s="100" t="s">
        <v>584</v>
      </c>
      <c r="K169" s="100" t="s">
        <v>341</v>
      </c>
      <c r="L169" s="84" t="s">
        <v>410</v>
      </c>
      <c r="M169" s="81"/>
      <c r="N169" s="81"/>
      <c r="O169" s="77" t="s">
        <v>15</v>
      </c>
      <c r="P169" s="77" t="s">
        <v>15</v>
      </c>
      <c r="Q169" s="77" t="s">
        <v>15</v>
      </c>
      <c r="R169" s="77" t="s">
        <v>15</v>
      </c>
      <c r="S169" s="77" t="s">
        <v>15</v>
      </c>
      <c r="T169" s="77" t="s">
        <v>15</v>
      </c>
      <c r="U169" s="77" t="s">
        <v>15</v>
      </c>
      <c r="V169" s="77" t="s">
        <v>15</v>
      </c>
      <c r="W169" s="77" t="s">
        <v>15</v>
      </c>
      <c r="X169" s="78" t="s">
        <v>41</v>
      </c>
      <c r="Y169" s="77" t="s">
        <v>15</v>
      </c>
      <c r="Z169" s="77" t="s">
        <v>15</v>
      </c>
    </row>
    <row r="170" spans="1:26">
      <c r="A170" s="72">
        <v>169</v>
      </c>
      <c r="B170" s="81" t="s">
        <v>585</v>
      </c>
      <c r="C170" s="85" t="s">
        <v>141</v>
      </c>
      <c r="D170" s="85" t="s">
        <v>134</v>
      </c>
      <c r="E170" s="85" t="s">
        <v>141</v>
      </c>
      <c r="F170" s="74" t="s">
        <v>141</v>
      </c>
      <c r="G170" s="74" t="s">
        <v>141</v>
      </c>
      <c r="H170" s="74" t="s">
        <v>141</v>
      </c>
      <c r="I170" s="100" t="s">
        <v>586</v>
      </c>
      <c r="J170" s="100" t="s">
        <v>587</v>
      </c>
      <c r="K170" s="100" t="s">
        <v>341</v>
      </c>
      <c r="L170" s="84" t="s">
        <v>410</v>
      </c>
      <c r="M170" s="81"/>
      <c r="N170" s="81"/>
      <c r="O170" s="77" t="s">
        <v>15</v>
      </c>
      <c r="P170" s="77" t="s">
        <v>15</v>
      </c>
      <c r="Q170" s="77" t="s">
        <v>15</v>
      </c>
      <c r="R170" s="77" t="s">
        <v>15</v>
      </c>
      <c r="S170" s="77" t="s">
        <v>15</v>
      </c>
      <c r="T170" s="77" t="s">
        <v>15</v>
      </c>
      <c r="U170" s="77" t="s">
        <v>15</v>
      </c>
      <c r="V170" s="77" t="s">
        <v>15</v>
      </c>
      <c r="W170" s="77" t="s">
        <v>15</v>
      </c>
      <c r="X170" s="77" t="s">
        <v>15</v>
      </c>
      <c r="Y170" s="78" t="s">
        <v>41</v>
      </c>
      <c r="Z170" s="77" t="s">
        <v>15</v>
      </c>
    </row>
    <row r="171" spans="1:26">
      <c r="A171" s="72">
        <v>170</v>
      </c>
      <c r="B171" s="81" t="s">
        <v>588</v>
      </c>
      <c r="C171" s="85" t="s">
        <v>141</v>
      </c>
      <c r="D171" s="85" t="s">
        <v>134</v>
      </c>
      <c r="E171" s="85" t="s">
        <v>141</v>
      </c>
      <c r="F171" s="74" t="s">
        <v>141</v>
      </c>
      <c r="G171" s="74" t="s">
        <v>141</v>
      </c>
      <c r="H171" s="74" t="s">
        <v>141</v>
      </c>
      <c r="I171" s="100" t="s">
        <v>589</v>
      </c>
      <c r="J171" s="100" t="s">
        <v>590</v>
      </c>
      <c r="K171" s="100" t="s">
        <v>341</v>
      </c>
      <c r="L171" s="84" t="s">
        <v>410</v>
      </c>
      <c r="M171" s="81"/>
      <c r="N171" s="81"/>
      <c r="O171" s="77" t="s">
        <v>15</v>
      </c>
      <c r="P171" s="77" t="s">
        <v>15</v>
      </c>
      <c r="Q171" s="77" t="s">
        <v>15</v>
      </c>
      <c r="R171" s="77" t="s">
        <v>15</v>
      </c>
      <c r="S171" s="77" t="s">
        <v>15</v>
      </c>
      <c r="T171" s="77" t="s">
        <v>15</v>
      </c>
      <c r="U171" s="77" t="s">
        <v>15</v>
      </c>
      <c r="V171" s="77" t="s">
        <v>15</v>
      </c>
      <c r="W171" s="77" t="s">
        <v>15</v>
      </c>
      <c r="X171" s="77" t="s">
        <v>15</v>
      </c>
      <c r="Y171" s="78" t="s">
        <v>41</v>
      </c>
      <c r="Z171" s="77" t="s">
        <v>15</v>
      </c>
    </row>
    <row r="172" spans="1:26">
      <c r="A172" s="72">
        <v>171</v>
      </c>
      <c r="B172" s="81" t="s">
        <v>591</v>
      </c>
      <c r="C172" s="85" t="s">
        <v>141</v>
      </c>
      <c r="D172" s="85" t="s">
        <v>134</v>
      </c>
      <c r="E172" s="85" t="s">
        <v>141</v>
      </c>
      <c r="F172" s="74" t="s">
        <v>141</v>
      </c>
      <c r="G172" s="74" t="s">
        <v>141</v>
      </c>
      <c r="H172" s="74" t="s">
        <v>141</v>
      </c>
      <c r="I172" s="100" t="s">
        <v>592</v>
      </c>
      <c r="J172" s="100" t="s">
        <v>593</v>
      </c>
      <c r="K172" s="100" t="s">
        <v>341</v>
      </c>
      <c r="L172" s="84" t="s">
        <v>410</v>
      </c>
      <c r="M172" s="81"/>
      <c r="N172" s="81"/>
      <c r="O172" s="77" t="s">
        <v>15</v>
      </c>
      <c r="P172" s="77" t="s">
        <v>15</v>
      </c>
      <c r="Q172" s="77" t="s">
        <v>15</v>
      </c>
      <c r="R172" s="77" t="s">
        <v>15</v>
      </c>
      <c r="S172" s="77" t="s">
        <v>15</v>
      </c>
      <c r="T172" s="77" t="s">
        <v>15</v>
      </c>
      <c r="U172" s="77" t="s">
        <v>15</v>
      </c>
      <c r="V172" s="77" t="s">
        <v>15</v>
      </c>
      <c r="W172" s="77" t="s">
        <v>15</v>
      </c>
      <c r="X172" s="77" t="s">
        <v>15</v>
      </c>
      <c r="Y172" s="78" t="s">
        <v>41</v>
      </c>
      <c r="Z172" s="77" t="s">
        <v>15</v>
      </c>
    </row>
    <row r="173" spans="1:26">
      <c r="A173" s="72">
        <v>172</v>
      </c>
      <c r="B173" s="81" t="s">
        <v>594</v>
      </c>
      <c r="C173" s="85" t="s">
        <v>141</v>
      </c>
      <c r="D173" s="85" t="s">
        <v>134</v>
      </c>
      <c r="E173" s="85" t="s">
        <v>141</v>
      </c>
      <c r="F173" s="74" t="s">
        <v>141</v>
      </c>
      <c r="G173" s="74" t="s">
        <v>141</v>
      </c>
      <c r="H173" s="74" t="s">
        <v>141</v>
      </c>
      <c r="I173" s="100" t="s">
        <v>595</v>
      </c>
      <c r="J173" s="100" t="s">
        <v>596</v>
      </c>
      <c r="K173" s="100" t="s">
        <v>341</v>
      </c>
      <c r="L173" s="84" t="s">
        <v>410</v>
      </c>
      <c r="M173" s="81"/>
      <c r="N173" s="81"/>
      <c r="O173" s="77" t="s">
        <v>15</v>
      </c>
      <c r="P173" s="77" t="s">
        <v>15</v>
      </c>
      <c r="Q173" s="77" t="s">
        <v>15</v>
      </c>
      <c r="R173" s="77" t="s">
        <v>15</v>
      </c>
      <c r="S173" s="77" t="s">
        <v>15</v>
      </c>
      <c r="T173" s="77" t="s">
        <v>15</v>
      </c>
      <c r="U173" s="77" t="s">
        <v>15</v>
      </c>
      <c r="V173" s="77" t="s">
        <v>15</v>
      </c>
      <c r="W173" s="77" t="s">
        <v>15</v>
      </c>
      <c r="X173" s="77" t="s">
        <v>15</v>
      </c>
      <c r="Y173" s="78" t="s">
        <v>41</v>
      </c>
      <c r="Z173" s="77" t="s">
        <v>15</v>
      </c>
    </row>
    <row r="174" spans="1:26">
      <c r="A174" s="72">
        <v>173</v>
      </c>
      <c r="B174" s="81" t="s">
        <v>597</v>
      </c>
      <c r="C174" s="85" t="s">
        <v>141</v>
      </c>
      <c r="D174" s="85" t="s">
        <v>134</v>
      </c>
      <c r="E174" s="85" t="s">
        <v>141</v>
      </c>
      <c r="F174" s="74" t="s">
        <v>141</v>
      </c>
      <c r="G174" s="74" t="s">
        <v>141</v>
      </c>
      <c r="H174" s="74" t="s">
        <v>141</v>
      </c>
      <c r="I174" s="100" t="s">
        <v>598</v>
      </c>
      <c r="J174" s="100" t="s">
        <v>599</v>
      </c>
      <c r="K174" s="100" t="s">
        <v>341</v>
      </c>
      <c r="L174" s="84" t="s">
        <v>410</v>
      </c>
      <c r="M174" s="81"/>
      <c r="N174" s="81"/>
      <c r="O174" s="77" t="s">
        <v>15</v>
      </c>
      <c r="P174" s="77" t="s">
        <v>15</v>
      </c>
      <c r="Q174" s="77" t="s">
        <v>15</v>
      </c>
      <c r="R174" s="77" t="s">
        <v>15</v>
      </c>
      <c r="S174" s="77" t="s">
        <v>15</v>
      </c>
      <c r="T174" s="77" t="s">
        <v>15</v>
      </c>
      <c r="U174" s="77" t="s">
        <v>15</v>
      </c>
      <c r="V174" s="77" t="s">
        <v>15</v>
      </c>
      <c r="W174" s="77" t="s">
        <v>15</v>
      </c>
      <c r="X174" s="77" t="s">
        <v>15</v>
      </c>
      <c r="Y174" s="78" t="s">
        <v>41</v>
      </c>
      <c r="Z174" s="77" t="s">
        <v>15</v>
      </c>
    </row>
    <row r="175" spans="1:26">
      <c r="A175" s="72">
        <v>174</v>
      </c>
      <c r="B175" s="81" t="s">
        <v>600</v>
      </c>
      <c r="C175" s="85" t="s">
        <v>141</v>
      </c>
      <c r="D175" s="85" t="s">
        <v>134</v>
      </c>
      <c r="E175" s="85" t="s">
        <v>141</v>
      </c>
      <c r="F175" s="74" t="s">
        <v>141</v>
      </c>
      <c r="G175" s="74" t="s">
        <v>141</v>
      </c>
      <c r="H175" s="74" t="s">
        <v>141</v>
      </c>
      <c r="I175" s="100" t="s">
        <v>601</v>
      </c>
      <c r="J175" s="100" t="s">
        <v>602</v>
      </c>
      <c r="K175" s="100" t="s">
        <v>341</v>
      </c>
      <c r="L175" s="84" t="s">
        <v>410</v>
      </c>
      <c r="M175" s="81"/>
      <c r="N175" s="81"/>
      <c r="O175" s="77" t="s">
        <v>15</v>
      </c>
      <c r="P175" s="77" t="s">
        <v>15</v>
      </c>
      <c r="Q175" s="77" t="s">
        <v>15</v>
      </c>
      <c r="R175" s="77" t="s">
        <v>15</v>
      </c>
      <c r="S175" s="77" t="s">
        <v>15</v>
      </c>
      <c r="T175" s="77" t="s">
        <v>15</v>
      </c>
      <c r="U175" s="77" t="s">
        <v>15</v>
      </c>
      <c r="V175" s="77" t="s">
        <v>15</v>
      </c>
      <c r="W175" s="77" t="s">
        <v>15</v>
      </c>
      <c r="X175" s="77" t="s">
        <v>15</v>
      </c>
      <c r="Y175" s="78" t="s">
        <v>41</v>
      </c>
      <c r="Z175" s="77" t="s">
        <v>15</v>
      </c>
    </row>
    <row r="176" spans="1:26">
      <c r="A176" s="72">
        <v>175</v>
      </c>
      <c r="B176" s="81" t="s">
        <v>603</v>
      </c>
      <c r="C176" s="85" t="s">
        <v>141</v>
      </c>
      <c r="D176" s="85" t="s">
        <v>134</v>
      </c>
      <c r="E176" s="85" t="s">
        <v>141</v>
      </c>
      <c r="F176" s="74" t="s">
        <v>141</v>
      </c>
      <c r="G176" s="74" t="s">
        <v>141</v>
      </c>
      <c r="H176" s="74" t="s">
        <v>141</v>
      </c>
      <c r="I176" s="100" t="s">
        <v>604</v>
      </c>
      <c r="J176" s="100" t="s">
        <v>605</v>
      </c>
      <c r="K176" s="100" t="s">
        <v>341</v>
      </c>
      <c r="L176" s="84" t="s">
        <v>410</v>
      </c>
      <c r="M176" s="81"/>
      <c r="N176" s="81"/>
      <c r="O176" s="77" t="s">
        <v>15</v>
      </c>
      <c r="P176" s="77" t="s">
        <v>15</v>
      </c>
      <c r="Q176" s="77" t="s">
        <v>15</v>
      </c>
      <c r="R176" s="77" t="s">
        <v>15</v>
      </c>
      <c r="S176" s="77" t="s">
        <v>15</v>
      </c>
      <c r="T176" s="77" t="s">
        <v>15</v>
      </c>
      <c r="U176" s="77" t="s">
        <v>15</v>
      </c>
      <c r="V176" s="77" t="s">
        <v>15</v>
      </c>
      <c r="W176" s="77" t="s">
        <v>15</v>
      </c>
      <c r="X176" s="77" t="s">
        <v>15</v>
      </c>
      <c r="Y176" s="78" t="s">
        <v>41</v>
      </c>
      <c r="Z176" s="77" t="s">
        <v>15</v>
      </c>
    </row>
    <row r="177" spans="1:26">
      <c r="A177" s="72">
        <v>176</v>
      </c>
      <c r="B177" s="81" t="s">
        <v>606</v>
      </c>
      <c r="C177" s="85" t="s">
        <v>141</v>
      </c>
      <c r="D177" s="85" t="s">
        <v>134</v>
      </c>
      <c r="E177" s="85" t="s">
        <v>141</v>
      </c>
      <c r="F177" s="74" t="s">
        <v>141</v>
      </c>
      <c r="G177" s="74" t="s">
        <v>141</v>
      </c>
      <c r="H177" s="74" t="s">
        <v>141</v>
      </c>
      <c r="I177" s="100" t="s">
        <v>607</v>
      </c>
      <c r="J177" s="100" t="s">
        <v>608</v>
      </c>
      <c r="K177" s="100" t="s">
        <v>341</v>
      </c>
      <c r="L177" s="84" t="s">
        <v>410</v>
      </c>
      <c r="M177" s="81"/>
      <c r="N177" s="81"/>
      <c r="O177" s="77" t="s">
        <v>15</v>
      </c>
      <c r="P177" s="77" t="s">
        <v>15</v>
      </c>
      <c r="Q177" s="77" t="s">
        <v>15</v>
      </c>
      <c r="R177" s="77" t="s">
        <v>15</v>
      </c>
      <c r="S177" s="77" t="s">
        <v>15</v>
      </c>
      <c r="T177" s="77" t="s">
        <v>15</v>
      </c>
      <c r="U177" s="77" t="s">
        <v>15</v>
      </c>
      <c r="V177" s="77" t="s">
        <v>15</v>
      </c>
      <c r="W177" s="77" t="s">
        <v>15</v>
      </c>
      <c r="X177" s="77" t="s">
        <v>15</v>
      </c>
      <c r="Y177" s="78" t="s">
        <v>41</v>
      </c>
      <c r="Z177" s="77" t="s">
        <v>15</v>
      </c>
    </row>
    <row r="178" spans="1:26">
      <c r="A178" s="72">
        <v>177</v>
      </c>
      <c r="B178" s="81" t="s">
        <v>609</v>
      </c>
      <c r="C178" s="85" t="s">
        <v>141</v>
      </c>
      <c r="D178" s="85" t="s">
        <v>134</v>
      </c>
      <c r="E178" s="85" t="s">
        <v>141</v>
      </c>
      <c r="F178" s="74" t="s">
        <v>141</v>
      </c>
      <c r="G178" s="74" t="s">
        <v>141</v>
      </c>
      <c r="H178" s="74" t="s">
        <v>141</v>
      </c>
      <c r="I178" s="100" t="s">
        <v>610</v>
      </c>
      <c r="J178" s="100" t="s">
        <v>611</v>
      </c>
      <c r="K178" s="100" t="s">
        <v>341</v>
      </c>
      <c r="L178" s="84" t="s">
        <v>410</v>
      </c>
      <c r="M178" s="81"/>
      <c r="N178" s="81"/>
      <c r="O178" s="77" t="s">
        <v>15</v>
      </c>
      <c r="P178" s="77" t="s">
        <v>15</v>
      </c>
      <c r="Q178" s="77" t="s">
        <v>15</v>
      </c>
      <c r="R178" s="77" t="s">
        <v>15</v>
      </c>
      <c r="S178" s="77" t="s">
        <v>15</v>
      </c>
      <c r="T178" s="77" t="s">
        <v>15</v>
      </c>
      <c r="U178" s="77" t="s">
        <v>15</v>
      </c>
      <c r="V178" s="77" t="s">
        <v>15</v>
      </c>
      <c r="W178" s="77" t="s">
        <v>15</v>
      </c>
      <c r="X178" s="77" t="s">
        <v>15</v>
      </c>
      <c r="Y178" s="78" t="s">
        <v>41</v>
      </c>
      <c r="Z178" s="77" t="s">
        <v>15</v>
      </c>
    </row>
    <row r="179" spans="1:26">
      <c r="A179" s="72">
        <v>178</v>
      </c>
      <c r="B179" s="81" t="s">
        <v>612</v>
      </c>
      <c r="C179" s="85" t="s">
        <v>141</v>
      </c>
      <c r="D179" s="85" t="s">
        <v>134</v>
      </c>
      <c r="E179" s="85" t="s">
        <v>141</v>
      </c>
      <c r="F179" s="74" t="s">
        <v>141</v>
      </c>
      <c r="G179" s="74" t="s">
        <v>141</v>
      </c>
      <c r="H179" s="74" t="s">
        <v>141</v>
      </c>
      <c r="I179" s="100" t="s">
        <v>613</v>
      </c>
      <c r="J179" s="100" t="s">
        <v>614</v>
      </c>
      <c r="K179" s="100" t="s">
        <v>341</v>
      </c>
      <c r="L179" s="84" t="s">
        <v>410</v>
      </c>
      <c r="M179" s="81"/>
      <c r="N179" s="81"/>
      <c r="O179" s="77" t="s">
        <v>15</v>
      </c>
      <c r="P179" s="77" t="s">
        <v>15</v>
      </c>
      <c r="Q179" s="77" t="s">
        <v>15</v>
      </c>
      <c r="R179" s="77" t="s">
        <v>15</v>
      </c>
      <c r="S179" s="77" t="s">
        <v>15</v>
      </c>
      <c r="T179" s="77" t="s">
        <v>15</v>
      </c>
      <c r="U179" s="77" t="s">
        <v>15</v>
      </c>
      <c r="V179" s="77" t="s">
        <v>15</v>
      </c>
      <c r="W179" s="77" t="s">
        <v>15</v>
      </c>
      <c r="X179" s="77" t="s">
        <v>15</v>
      </c>
      <c r="Y179" s="78" t="s">
        <v>41</v>
      </c>
      <c r="Z179" s="77" t="s">
        <v>15</v>
      </c>
    </row>
    <row r="180" spans="1:26">
      <c r="A180" s="72">
        <v>179</v>
      </c>
      <c r="B180" s="81" t="s">
        <v>615</v>
      </c>
      <c r="C180" s="85" t="s">
        <v>141</v>
      </c>
      <c r="D180" s="85" t="s">
        <v>134</v>
      </c>
      <c r="E180" s="85" t="s">
        <v>141</v>
      </c>
      <c r="F180" s="74" t="s">
        <v>141</v>
      </c>
      <c r="G180" s="74" t="s">
        <v>141</v>
      </c>
      <c r="H180" s="74" t="s">
        <v>141</v>
      </c>
      <c r="I180" s="100" t="s">
        <v>616</v>
      </c>
      <c r="J180" s="100" t="s">
        <v>617</v>
      </c>
      <c r="K180" s="100" t="s">
        <v>341</v>
      </c>
      <c r="L180" s="84" t="s">
        <v>410</v>
      </c>
      <c r="M180" s="81"/>
      <c r="N180" s="81"/>
      <c r="O180" s="77" t="s">
        <v>15</v>
      </c>
      <c r="P180" s="77" t="s">
        <v>15</v>
      </c>
      <c r="Q180" s="77" t="s">
        <v>15</v>
      </c>
      <c r="R180" s="77" t="s">
        <v>15</v>
      </c>
      <c r="S180" s="77" t="s">
        <v>15</v>
      </c>
      <c r="T180" s="77" t="s">
        <v>15</v>
      </c>
      <c r="U180" s="77" t="s">
        <v>15</v>
      </c>
      <c r="V180" s="77" t="s">
        <v>15</v>
      </c>
      <c r="W180" s="77" t="s">
        <v>15</v>
      </c>
      <c r="X180" s="77" t="s">
        <v>15</v>
      </c>
      <c r="Y180" s="78" t="s">
        <v>41</v>
      </c>
      <c r="Z180" s="77" t="s">
        <v>15</v>
      </c>
    </row>
    <row r="181" spans="1:26">
      <c r="A181" s="72">
        <v>180</v>
      </c>
      <c r="B181" s="81" t="s">
        <v>618</v>
      </c>
      <c r="C181" s="85" t="s">
        <v>141</v>
      </c>
      <c r="D181" s="85" t="s">
        <v>134</v>
      </c>
      <c r="E181" s="85" t="s">
        <v>141</v>
      </c>
      <c r="F181" s="74" t="s">
        <v>141</v>
      </c>
      <c r="G181" s="74" t="s">
        <v>141</v>
      </c>
      <c r="H181" s="74" t="s">
        <v>141</v>
      </c>
      <c r="I181" s="100" t="s">
        <v>619</v>
      </c>
      <c r="J181" s="100" t="s">
        <v>620</v>
      </c>
      <c r="K181" s="100" t="s">
        <v>341</v>
      </c>
      <c r="L181" s="84" t="s">
        <v>410</v>
      </c>
      <c r="M181" s="81"/>
      <c r="N181" s="81"/>
      <c r="O181" s="77" t="s">
        <v>15</v>
      </c>
      <c r="P181" s="77" t="s">
        <v>15</v>
      </c>
      <c r="Q181" s="77" t="s">
        <v>15</v>
      </c>
      <c r="R181" s="77" t="s">
        <v>15</v>
      </c>
      <c r="S181" s="77" t="s">
        <v>15</v>
      </c>
      <c r="T181" s="77" t="s">
        <v>15</v>
      </c>
      <c r="U181" s="77" t="s">
        <v>15</v>
      </c>
      <c r="V181" s="77" t="s">
        <v>15</v>
      </c>
      <c r="W181" s="77" t="s">
        <v>15</v>
      </c>
      <c r="X181" s="77" t="s">
        <v>15</v>
      </c>
      <c r="Y181" s="78" t="s">
        <v>41</v>
      </c>
      <c r="Z181" s="77" t="s">
        <v>15</v>
      </c>
    </row>
    <row r="182" spans="1:26">
      <c r="A182" s="72">
        <v>181</v>
      </c>
      <c r="B182" s="81" t="s">
        <v>621</v>
      </c>
      <c r="C182" s="85" t="s">
        <v>141</v>
      </c>
      <c r="D182" s="85" t="s">
        <v>134</v>
      </c>
      <c r="E182" s="85" t="s">
        <v>141</v>
      </c>
      <c r="F182" s="74" t="s">
        <v>141</v>
      </c>
      <c r="G182" s="74" t="s">
        <v>141</v>
      </c>
      <c r="H182" s="74" t="s">
        <v>141</v>
      </c>
      <c r="I182" s="100" t="s">
        <v>622</v>
      </c>
      <c r="J182" s="100" t="s">
        <v>623</v>
      </c>
      <c r="K182" s="100" t="s">
        <v>341</v>
      </c>
      <c r="L182" s="84" t="s">
        <v>410</v>
      </c>
      <c r="M182" s="81"/>
      <c r="N182" s="81"/>
      <c r="O182" s="77" t="s">
        <v>15</v>
      </c>
      <c r="P182" s="77" t="s">
        <v>15</v>
      </c>
      <c r="Q182" s="77" t="s">
        <v>15</v>
      </c>
      <c r="R182" s="77" t="s">
        <v>15</v>
      </c>
      <c r="S182" s="77" t="s">
        <v>15</v>
      </c>
      <c r="T182" s="77" t="s">
        <v>15</v>
      </c>
      <c r="U182" s="77" t="s">
        <v>15</v>
      </c>
      <c r="V182" s="77" t="s">
        <v>15</v>
      </c>
      <c r="W182" s="77" t="s">
        <v>15</v>
      </c>
      <c r="X182" s="77" t="s">
        <v>15</v>
      </c>
      <c r="Y182" s="78" t="s">
        <v>41</v>
      </c>
      <c r="Z182" s="77" t="s">
        <v>15</v>
      </c>
    </row>
    <row r="183" spans="1:26">
      <c r="A183" s="72">
        <v>182</v>
      </c>
      <c r="B183" s="81" t="s">
        <v>624</v>
      </c>
      <c r="C183" s="85" t="s">
        <v>141</v>
      </c>
      <c r="D183" s="85" t="s">
        <v>134</v>
      </c>
      <c r="E183" s="85" t="s">
        <v>141</v>
      </c>
      <c r="F183" s="74" t="s">
        <v>141</v>
      </c>
      <c r="G183" s="74" t="s">
        <v>141</v>
      </c>
      <c r="H183" s="74" t="s">
        <v>141</v>
      </c>
      <c r="I183" s="100" t="s">
        <v>625</v>
      </c>
      <c r="J183" s="100" t="s">
        <v>626</v>
      </c>
      <c r="K183" s="100" t="s">
        <v>341</v>
      </c>
      <c r="L183" s="84" t="s">
        <v>410</v>
      </c>
      <c r="M183" s="81"/>
      <c r="N183" s="81"/>
      <c r="O183" s="77" t="s">
        <v>15</v>
      </c>
      <c r="P183" s="77" t="s">
        <v>15</v>
      </c>
      <c r="Q183" s="77" t="s">
        <v>15</v>
      </c>
      <c r="R183" s="77" t="s">
        <v>15</v>
      </c>
      <c r="S183" s="77" t="s">
        <v>15</v>
      </c>
      <c r="T183" s="77" t="s">
        <v>15</v>
      </c>
      <c r="U183" s="77" t="s">
        <v>15</v>
      </c>
      <c r="V183" s="77" t="s">
        <v>15</v>
      </c>
      <c r="W183" s="77" t="s">
        <v>15</v>
      </c>
      <c r="X183" s="77" t="s">
        <v>15</v>
      </c>
      <c r="Y183" s="78" t="s">
        <v>41</v>
      </c>
      <c r="Z183" s="77" t="s">
        <v>15</v>
      </c>
    </row>
    <row r="184" spans="1:26">
      <c r="A184" s="72">
        <v>183</v>
      </c>
      <c r="B184" s="81" t="s">
        <v>627</v>
      </c>
      <c r="C184" s="85" t="s">
        <v>141</v>
      </c>
      <c r="D184" s="85" t="s">
        <v>134</v>
      </c>
      <c r="E184" s="85" t="s">
        <v>141</v>
      </c>
      <c r="F184" s="74" t="s">
        <v>141</v>
      </c>
      <c r="G184" s="74" t="s">
        <v>141</v>
      </c>
      <c r="H184" s="74" t="s">
        <v>141</v>
      </c>
      <c r="I184" s="100" t="s">
        <v>628</v>
      </c>
      <c r="J184" s="100" t="s">
        <v>629</v>
      </c>
      <c r="K184" s="100" t="s">
        <v>341</v>
      </c>
      <c r="L184" s="84" t="s">
        <v>410</v>
      </c>
      <c r="M184" s="81"/>
      <c r="N184" s="81"/>
      <c r="O184" s="77" t="s">
        <v>15</v>
      </c>
      <c r="P184" s="77" t="s">
        <v>15</v>
      </c>
      <c r="Q184" s="77" t="s">
        <v>15</v>
      </c>
      <c r="R184" s="77" t="s">
        <v>15</v>
      </c>
      <c r="S184" s="77" t="s">
        <v>15</v>
      </c>
      <c r="T184" s="77" t="s">
        <v>15</v>
      </c>
      <c r="U184" s="77" t="s">
        <v>15</v>
      </c>
      <c r="V184" s="77" t="s">
        <v>15</v>
      </c>
      <c r="W184" s="77" t="s">
        <v>15</v>
      </c>
      <c r="X184" s="77" t="s">
        <v>15</v>
      </c>
      <c r="Y184" s="78" t="s">
        <v>41</v>
      </c>
      <c r="Z184" s="77" t="s">
        <v>15</v>
      </c>
    </row>
    <row r="185" spans="1:26">
      <c r="A185" s="72">
        <v>184</v>
      </c>
      <c r="B185" s="81" t="s">
        <v>630</v>
      </c>
      <c r="C185" s="85" t="s">
        <v>141</v>
      </c>
      <c r="D185" s="85" t="s">
        <v>134</v>
      </c>
      <c r="E185" s="85" t="s">
        <v>141</v>
      </c>
      <c r="F185" s="74" t="s">
        <v>141</v>
      </c>
      <c r="G185" s="74" t="s">
        <v>141</v>
      </c>
      <c r="H185" s="74" t="s">
        <v>141</v>
      </c>
      <c r="I185" s="100" t="s">
        <v>631</v>
      </c>
      <c r="J185" s="100" t="s">
        <v>632</v>
      </c>
      <c r="K185" s="100" t="s">
        <v>341</v>
      </c>
      <c r="L185" s="84" t="s">
        <v>410</v>
      </c>
      <c r="M185" s="81"/>
      <c r="N185" s="81"/>
      <c r="O185" s="77" t="s">
        <v>15</v>
      </c>
      <c r="P185" s="77" t="s">
        <v>15</v>
      </c>
      <c r="Q185" s="77" t="s">
        <v>15</v>
      </c>
      <c r="R185" s="77" t="s">
        <v>15</v>
      </c>
      <c r="S185" s="77" t="s">
        <v>15</v>
      </c>
      <c r="T185" s="77" t="s">
        <v>15</v>
      </c>
      <c r="U185" s="77" t="s">
        <v>15</v>
      </c>
      <c r="V185" s="77" t="s">
        <v>15</v>
      </c>
      <c r="W185" s="77" t="s">
        <v>15</v>
      </c>
      <c r="X185" s="77" t="s">
        <v>15</v>
      </c>
      <c r="Y185" s="78" t="s">
        <v>41</v>
      </c>
      <c r="Z185" s="77" t="s">
        <v>15</v>
      </c>
    </row>
    <row r="186" spans="1:26">
      <c r="A186" s="72">
        <v>185</v>
      </c>
      <c r="B186" s="81" t="s">
        <v>633</v>
      </c>
      <c r="C186" s="85" t="s">
        <v>141</v>
      </c>
      <c r="D186" s="85" t="s">
        <v>134</v>
      </c>
      <c r="E186" s="85" t="s">
        <v>141</v>
      </c>
      <c r="F186" s="74" t="s">
        <v>141</v>
      </c>
      <c r="G186" s="74" t="s">
        <v>141</v>
      </c>
      <c r="H186" s="74" t="s">
        <v>141</v>
      </c>
      <c r="I186" s="100" t="s">
        <v>634</v>
      </c>
      <c r="J186" s="100" t="s">
        <v>635</v>
      </c>
      <c r="K186" s="100" t="s">
        <v>341</v>
      </c>
      <c r="L186" s="84" t="s">
        <v>410</v>
      </c>
      <c r="M186" s="81"/>
      <c r="N186" s="81"/>
      <c r="O186" s="77" t="s">
        <v>15</v>
      </c>
      <c r="P186" s="77" t="s">
        <v>15</v>
      </c>
      <c r="Q186" s="77" t="s">
        <v>15</v>
      </c>
      <c r="R186" s="77" t="s">
        <v>15</v>
      </c>
      <c r="S186" s="77" t="s">
        <v>15</v>
      </c>
      <c r="T186" s="77" t="s">
        <v>15</v>
      </c>
      <c r="U186" s="77" t="s">
        <v>15</v>
      </c>
      <c r="V186" s="77" t="s">
        <v>15</v>
      </c>
      <c r="W186" s="77" t="s">
        <v>15</v>
      </c>
      <c r="X186" s="77" t="s">
        <v>15</v>
      </c>
      <c r="Y186" s="78" t="s">
        <v>41</v>
      </c>
      <c r="Z186" s="77" t="s">
        <v>15</v>
      </c>
    </row>
    <row r="187" spans="1:26">
      <c r="A187" s="72">
        <v>186</v>
      </c>
      <c r="B187" s="81" t="s">
        <v>636</v>
      </c>
      <c r="C187" s="85" t="s">
        <v>141</v>
      </c>
      <c r="D187" s="85" t="s">
        <v>134</v>
      </c>
      <c r="E187" s="85" t="s">
        <v>141</v>
      </c>
      <c r="F187" s="74" t="s">
        <v>141</v>
      </c>
      <c r="G187" s="74" t="s">
        <v>141</v>
      </c>
      <c r="H187" s="74" t="s">
        <v>141</v>
      </c>
      <c r="I187" s="100" t="s">
        <v>637</v>
      </c>
      <c r="J187" s="100" t="s">
        <v>638</v>
      </c>
      <c r="K187" s="100" t="s">
        <v>341</v>
      </c>
      <c r="L187" s="84" t="s">
        <v>410</v>
      </c>
      <c r="M187" s="81"/>
      <c r="N187" s="81"/>
      <c r="O187" s="77" t="s">
        <v>15</v>
      </c>
      <c r="P187" s="77" t="s">
        <v>15</v>
      </c>
      <c r="Q187" s="77" t="s">
        <v>15</v>
      </c>
      <c r="R187" s="77" t="s">
        <v>15</v>
      </c>
      <c r="S187" s="77" t="s">
        <v>15</v>
      </c>
      <c r="T187" s="77" t="s">
        <v>15</v>
      </c>
      <c r="U187" s="77" t="s">
        <v>15</v>
      </c>
      <c r="V187" s="77" t="s">
        <v>15</v>
      </c>
      <c r="W187" s="77" t="s">
        <v>15</v>
      </c>
      <c r="X187" s="77" t="s">
        <v>15</v>
      </c>
      <c r="Y187" s="78" t="s">
        <v>41</v>
      </c>
      <c r="Z187" s="77" t="s">
        <v>15</v>
      </c>
    </row>
    <row r="188" spans="1:26">
      <c r="A188" s="72">
        <v>187</v>
      </c>
      <c r="B188" s="81" t="s">
        <v>639</v>
      </c>
      <c r="C188" s="85" t="s">
        <v>141</v>
      </c>
      <c r="D188" s="85" t="s">
        <v>134</v>
      </c>
      <c r="E188" s="85" t="s">
        <v>141</v>
      </c>
      <c r="F188" s="74" t="s">
        <v>141</v>
      </c>
      <c r="G188" s="74" t="s">
        <v>141</v>
      </c>
      <c r="H188" s="74" t="s">
        <v>141</v>
      </c>
      <c r="I188" s="100" t="s">
        <v>640</v>
      </c>
      <c r="J188" s="100" t="s">
        <v>641</v>
      </c>
      <c r="K188" s="100" t="s">
        <v>341</v>
      </c>
      <c r="L188" s="84" t="s">
        <v>410</v>
      </c>
      <c r="M188" s="81"/>
      <c r="N188" s="81"/>
      <c r="O188" s="77" t="s">
        <v>15</v>
      </c>
      <c r="P188" s="77" t="s">
        <v>15</v>
      </c>
      <c r="Q188" s="77" t="s">
        <v>15</v>
      </c>
      <c r="R188" s="77" t="s">
        <v>15</v>
      </c>
      <c r="S188" s="77" t="s">
        <v>15</v>
      </c>
      <c r="T188" s="77" t="s">
        <v>15</v>
      </c>
      <c r="U188" s="77" t="s">
        <v>15</v>
      </c>
      <c r="V188" s="77" t="s">
        <v>15</v>
      </c>
      <c r="W188" s="77" t="s">
        <v>15</v>
      </c>
      <c r="X188" s="77" t="s">
        <v>15</v>
      </c>
      <c r="Y188" s="78" t="s">
        <v>41</v>
      </c>
      <c r="Z188" s="77" t="s">
        <v>15</v>
      </c>
    </row>
    <row r="189" spans="1:26">
      <c r="A189" s="72">
        <v>188</v>
      </c>
      <c r="B189" s="81" t="s">
        <v>642</v>
      </c>
      <c r="C189" s="85" t="s">
        <v>141</v>
      </c>
      <c r="D189" s="85" t="s">
        <v>134</v>
      </c>
      <c r="E189" s="85" t="s">
        <v>141</v>
      </c>
      <c r="F189" s="74" t="s">
        <v>141</v>
      </c>
      <c r="G189" s="74" t="s">
        <v>141</v>
      </c>
      <c r="H189" s="74" t="s">
        <v>141</v>
      </c>
      <c r="I189" s="100" t="s">
        <v>643</v>
      </c>
      <c r="J189" s="100" t="s">
        <v>644</v>
      </c>
      <c r="K189" s="100" t="s">
        <v>341</v>
      </c>
      <c r="L189" s="84" t="s">
        <v>410</v>
      </c>
      <c r="M189" s="81"/>
      <c r="N189" s="81"/>
      <c r="O189" s="77" t="s">
        <v>15</v>
      </c>
      <c r="P189" s="77" t="s">
        <v>15</v>
      </c>
      <c r="Q189" s="77" t="s">
        <v>15</v>
      </c>
      <c r="R189" s="77" t="s">
        <v>15</v>
      </c>
      <c r="S189" s="77" t="s">
        <v>15</v>
      </c>
      <c r="T189" s="77" t="s">
        <v>15</v>
      </c>
      <c r="U189" s="77" t="s">
        <v>15</v>
      </c>
      <c r="V189" s="77" t="s">
        <v>15</v>
      </c>
      <c r="W189" s="77" t="s">
        <v>15</v>
      </c>
      <c r="X189" s="77" t="s">
        <v>15</v>
      </c>
      <c r="Y189" s="78" t="s">
        <v>41</v>
      </c>
      <c r="Z189" s="77" t="s">
        <v>15</v>
      </c>
    </row>
    <row r="190" spans="1:26">
      <c r="A190" s="72">
        <v>189</v>
      </c>
      <c r="B190" s="81" t="s">
        <v>645</v>
      </c>
      <c r="C190" s="85" t="s">
        <v>141</v>
      </c>
      <c r="D190" s="85" t="s">
        <v>134</v>
      </c>
      <c r="E190" s="85" t="s">
        <v>141</v>
      </c>
      <c r="F190" s="74" t="s">
        <v>141</v>
      </c>
      <c r="G190" s="74" t="s">
        <v>141</v>
      </c>
      <c r="H190" s="74" t="s">
        <v>141</v>
      </c>
      <c r="I190" s="100" t="s">
        <v>646</v>
      </c>
      <c r="J190" s="100" t="s">
        <v>647</v>
      </c>
      <c r="K190" s="100" t="s">
        <v>341</v>
      </c>
      <c r="L190" s="84" t="s">
        <v>410</v>
      </c>
      <c r="M190" s="81"/>
      <c r="N190" s="81"/>
      <c r="O190" s="77" t="s">
        <v>15</v>
      </c>
      <c r="P190" s="77" t="s">
        <v>15</v>
      </c>
      <c r="Q190" s="77" t="s">
        <v>15</v>
      </c>
      <c r="R190" s="77" t="s">
        <v>15</v>
      </c>
      <c r="S190" s="77" t="s">
        <v>15</v>
      </c>
      <c r="T190" s="77" t="s">
        <v>15</v>
      </c>
      <c r="U190" s="77" t="s">
        <v>15</v>
      </c>
      <c r="V190" s="77" t="s">
        <v>15</v>
      </c>
      <c r="W190" s="77" t="s">
        <v>15</v>
      </c>
      <c r="X190" s="77" t="s">
        <v>15</v>
      </c>
      <c r="Y190" s="78" t="s">
        <v>41</v>
      </c>
      <c r="Z190" s="77" t="s">
        <v>15</v>
      </c>
    </row>
    <row r="191" spans="1:26">
      <c r="A191" s="72">
        <v>190</v>
      </c>
      <c r="B191" s="81" t="s">
        <v>648</v>
      </c>
      <c r="C191" s="85" t="s">
        <v>141</v>
      </c>
      <c r="D191" s="85" t="s">
        <v>134</v>
      </c>
      <c r="E191" s="85" t="s">
        <v>141</v>
      </c>
      <c r="F191" s="74" t="s">
        <v>141</v>
      </c>
      <c r="G191" s="74" t="s">
        <v>141</v>
      </c>
      <c r="H191" s="74" t="s">
        <v>141</v>
      </c>
      <c r="I191" s="100" t="s">
        <v>649</v>
      </c>
      <c r="J191" s="100" t="s">
        <v>650</v>
      </c>
      <c r="K191" s="100" t="s">
        <v>341</v>
      </c>
      <c r="L191" s="84" t="s">
        <v>410</v>
      </c>
      <c r="M191" s="81"/>
      <c r="N191" s="81"/>
      <c r="O191" s="77" t="s">
        <v>15</v>
      </c>
      <c r="P191" s="77" t="s">
        <v>15</v>
      </c>
      <c r="Q191" s="77" t="s">
        <v>15</v>
      </c>
      <c r="R191" s="77" t="s">
        <v>15</v>
      </c>
      <c r="S191" s="77" t="s">
        <v>15</v>
      </c>
      <c r="T191" s="77" t="s">
        <v>15</v>
      </c>
      <c r="U191" s="77" t="s">
        <v>15</v>
      </c>
      <c r="V191" s="77" t="s">
        <v>15</v>
      </c>
      <c r="W191" s="77" t="s">
        <v>15</v>
      </c>
      <c r="X191" s="77" t="s">
        <v>15</v>
      </c>
      <c r="Y191" s="78" t="s">
        <v>41</v>
      </c>
      <c r="Z191" s="77" t="s">
        <v>15</v>
      </c>
    </row>
    <row r="192" spans="1:26">
      <c r="A192" s="72">
        <v>191</v>
      </c>
      <c r="B192" s="81" t="s">
        <v>651</v>
      </c>
      <c r="C192" s="85" t="s">
        <v>141</v>
      </c>
      <c r="D192" s="85" t="s">
        <v>134</v>
      </c>
      <c r="E192" s="85" t="s">
        <v>141</v>
      </c>
      <c r="F192" s="74" t="s">
        <v>141</v>
      </c>
      <c r="G192" s="74" t="s">
        <v>141</v>
      </c>
      <c r="H192" s="74" t="s">
        <v>141</v>
      </c>
      <c r="I192" s="100" t="s">
        <v>652</v>
      </c>
      <c r="J192" s="100" t="s">
        <v>653</v>
      </c>
      <c r="K192" s="100" t="s">
        <v>341</v>
      </c>
      <c r="L192" s="84" t="s">
        <v>410</v>
      </c>
      <c r="M192" s="81"/>
      <c r="N192" s="81"/>
      <c r="O192" s="77" t="s">
        <v>15</v>
      </c>
      <c r="P192" s="77" t="s">
        <v>15</v>
      </c>
      <c r="Q192" s="77" t="s">
        <v>15</v>
      </c>
      <c r="R192" s="77" t="s">
        <v>15</v>
      </c>
      <c r="S192" s="77" t="s">
        <v>15</v>
      </c>
      <c r="T192" s="77" t="s">
        <v>15</v>
      </c>
      <c r="U192" s="77" t="s">
        <v>15</v>
      </c>
      <c r="V192" s="77" t="s">
        <v>15</v>
      </c>
      <c r="W192" s="77" t="s">
        <v>15</v>
      </c>
      <c r="X192" s="77" t="s">
        <v>15</v>
      </c>
      <c r="Y192" s="78" t="s">
        <v>41</v>
      </c>
      <c r="Z192" s="77" t="s">
        <v>15</v>
      </c>
    </row>
    <row r="193" spans="1:26">
      <c r="A193" s="72">
        <v>192</v>
      </c>
      <c r="B193" s="81" t="s">
        <v>654</v>
      </c>
      <c r="C193" s="85" t="s">
        <v>141</v>
      </c>
      <c r="D193" s="85" t="s">
        <v>134</v>
      </c>
      <c r="E193" s="85" t="s">
        <v>141</v>
      </c>
      <c r="F193" s="74" t="s">
        <v>141</v>
      </c>
      <c r="G193" s="74" t="s">
        <v>141</v>
      </c>
      <c r="H193" s="74" t="s">
        <v>141</v>
      </c>
      <c r="I193" s="100" t="s">
        <v>655</v>
      </c>
      <c r="J193" s="100" t="s">
        <v>656</v>
      </c>
      <c r="K193" s="100" t="s">
        <v>341</v>
      </c>
      <c r="L193" s="84" t="s">
        <v>410</v>
      </c>
      <c r="M193" s="81"/>
      <c r="N193" s="81"/>
      <c r="O193" s="77" t="s">
        <v>15</v>
      </c>
      <c r="P193" s="77" t="s">
        <v>15</v>
      </c>
      <c r="Q193" s="77" t="s">
        <v>15</v>
      </c>
      <c r="R193" s="77" t="s">
        <v>15</v>
      </c>
      <c r="S193" s="77" t="s">
        <v>15</v>
      </c>
      <c r="T193" s="77" t="s">
        <v>15</v>
      </c>
      <c r="U193" s="77" t="s">
        <v>15</v>
      </c>
      <c r="V193" s="77" t="s">
        <v>15</v>
      </c>
      <c r="W193" s="77" t="s">
        <v>15</v>
      </c>
      <c r="X193" s="77" t="s">
        <v>15</v>
      </c>
      <c r="Y193" s="78" t="s">
        <v>41</v>
      </c>
      <c r="Z193" s="77" t="s">
        <v>15</v>
      </c>
    </row>
    <row r="194" spans="1:26">
      <c r="A194" s="72">
        <v>193</v>
      </c>
      <c r="B194" s="81" t="s">
        <v>657</v>
      </c>
      <c r="C194" s="85" t="s">
        <v>134</v>
      </c>
      <c r="D194" s="85" t="s">
        <v>141</v>
      </c>
      <c r="E194" s="85" t="s">
        <v>141</v>
      </c>
      <c r="F194" s="74" t="s">
        <v>141</v>
      </c>
      <c r="G194" s="74" t="s">
        <v>141</v>
      </c>
      <c r="H194" s="74" t="s">
        <v>141</v>
      </c>
      <c r="I194" s="100" t="s">
        <v>658</v>
      </c>
      <c r="J194" s="100" t="s">
        <v>659</v>
      </c>
      <c r="K194" s="100" t="s">
        <v>341</v>
      </c>
      <c r="L194" s="84" t="s">
        <v>410</v>
      </c>
      <c r="M194" s="81"/>
      <c r="N194" s="81"/>
      <c r="O194" s="77" t="s">
        <v>15</v>
      </c>
      <c r="P194" s="77" t="s">
        <v>15</v>
      </c>
      <c r="Q194" s="77" t="s">
        <v>15</v>
      </c>
      <c r="R194" s="77" t="s">
        <v>15</v>
      </c>
      <c r="S194" s="77" t="s">
        <v>15</v>
      </c>
      <c r="T194" s="77" t="s">
        <v>15</v>
      </c>
      <c r="U194" s="77" t="s">
        <v>15</v>
      </c>
      <c r="V194" s="77" t="s">
        <v>15</v>
      </c>
      <c r="W194" s="77" t="s">
        <v>15</v>
      </c>
      <c r="X194" s="77" t="s">
        <v>15</v>
      </c>
      <c r="Y194" s="77" t="s">
        <v>15</v>
      </c>
      <c r="Z194" s="78" t="s">
        <v>41</v>
      </c>
    </row>
    <row r="195" spans="1:26">
      <c r="A195" s="72">
        <v>194</v>
      </c>
      <c r="B195" s="81" t="s">
        <v>660</v>
      </c>
      <c r="C195" s="85" t="s">
        <v>134</v>
      </c>
      <c r="D195" s="85" t="s">
        <v>141</v>
      </c>
      <c r="E195" s="85" t="s">
        <v>141</v>
      </c>
      <c r="F195" s="74" t="s">
        <v>141</v>
      </c>
      <c r="G195" s="74" t="s">
        <v>141</v>
      </c>
      <c r="H195" s="74" t="s">
        <v>141</v>
      </c>
      <c r="I195" s="100" t="s">
        <v>661</v>
      </c>
      <c r="J195" s="100" t="s">
        <v>662</v>
      </c>
      <c r="K195" s="100" t="s">
        <v>341</v>
      </c>
      <c r="L195" s="84" t="s">
        <v>410</v>
      </c>
      <c r="M195" s="81"/>
      <c r="N195" s="81"/>
      <c r="O195" s="77" t="s">
        <v>15</v>
      </c>
      <c r="P195" s="77" t="s">
        <v>15</v>
      </c>
      <c r="Q195" s="77" t="s">
        <v>15</v>
      </c>
      <c r="R195" s="77" t="s">
        <v>15</v>
      </c>
      <c r="S195" s="77" t="s">
        <v>15</v>
      </c>
      <c r="T195" s="77" t="s">
        <v>15</v>
      </c>
      <c r="U195" s="77" t="s">
        <v>15</v>
      </c>
      <c r="V195" s="77" t="s">
        <v>15</v>
      </c>
      <c r="W195" s="77" t="s">
        <v>15</v>
      </c>
      <c r="X195" s="77" t="s">
        <v>15</v>
      </c>
      <c r="Y195" s="77" t="s">
        <v>15</v>
      </c>
      <c r="Z195" s="78" t="s">
        <v>41</v>
      </c>
    </row>
    <row r="196" spans="1:26">
      <c r="A196" s="72">
        <v>195</v>
      </c>
      <c r="B196" s="81" t="s">
        <v>663</v>
      </c>
      <c r="C196" s="85" t="s">
        <v>134</v>
      </c>
      <c r="D196" s="85" t="s">
        <v>141</v>
      </c>
      <c r="E196" s="85" t="s">
        <v>141</v>
      </c>
      <c r="F196" s="74" t="s">
        <v>141</v>
      </c>
      <c r="G196" s="74" t="s">
        <v>141</v>
      </c>
      <c r="H196" s="74" t="s">
        <v>141</v>
      </c>
      <c r="I196" s="100" t="s">
        <v>664</v>
      </c>
      <c r="J196" s="100" t="s">
        <v>665</v>
      </c>
      <c r="K196" s="100" t="s">
        <v>341</v>
      </c>
      <c r="L196" s="84" t="s">
        <v>410</v>
      </c>
      <c r="M196" s="81"/>
      <c r="N196" s="81"/>
      <c r="O196" s="77" t="s">
        <v>15</v>
      </c>
      <c r="P196" s="77" t="s">
        <v>15</v>
      </c>
      <c r="Q196" s="77" t="s">
        <v>15</v>
      </c>
      <c r="R196" s="77" t="s">
        <v>15</v>
      </c>
      <c r="S196" s="77" t="s">
        <v>15</v>
      </c>
      <c r="T196" s="77" t="s">
        <v>15</v>
      </c>
      <c r="U196" s="77" t="s">
        <v>15</v>
      </c>
      <c r="V196" s="77" t="s">
        <v>15</v>
      </c>
      <c r="W196" s="77" t="s">
        <v>15</v>
      </c>
      <c r="X196" s="77" t="s">
        <v>15</v>
      </c>
      <c r="Y196" s="77" t="s">
        <v>15</v>
      </c>
      <c r="Z196" s="78" t="s">
        <v>41</v>
      </c>
    </row>
    <row r="197" spans="1:26">
      <c r="A197" s="72">
        <v>196</v>
      </c>
      <c r="B197" s="81" t="s">
        <v>666</v>
      </c>
      <c r="C197" s="85" t="s">
        <v>134</v>
      </c>
      <c r="D197" s="85" t="s">
        <v>141</v>
      </c>
      <c r="E197" s="85" t="s">
        <v>141</v>
      </c>
      <c r="F197" s="74" t="s">
        <v>141</v>
      </c>
      <c r="G197" s="74" t="s">
        <v>141</v>
      </c>
      <c r="H197" s="74" t="s">
        <v>141</v>
      </c>
      <c r="I197" s="100" t="s">
        <v>667</v>
      </c>
      <c r="J197" s="100" t="s">
        <v>668</v>
      </c>
      <c r="K197" s="100" t="s">
        <v>341</v>
      </c>
      <c r="L197" s="84" t="s">
        <v>410</v>
      </c>
      <c r="M197" s="81"/>
      <c r="N197" s="81"/>
      <c r="O197" s="77" t="s">
        <v>15</v>
      </c>
      <c r="P197" s="77" t="s">
        <v>15</v>
      </c>
      <c r="Q197" s="77" t="s">
        <v>15</v>
      </c>
      <c r="R197" s="77" t="s">
        <v>15</v>
      </c>
      <c r="S197" s="77" t="s">
        <v>15</v>
      </c>
      <c r="T197" s="77" t="s">
        <v>15</v>
      </c>
      <c r="U197" s="77" t="s">
        <v>15</v>
      </c>
      <c r="V197" s="77" t="s">
        <v>15</v>
      </c>
      <c r="W197" s="77" t="s">
        <v>15</v>
      </c>
      <c r="X197" s="77" t="s">
        <v>15</v>
      </c>
      <c r="Y197" s="77" t="s">
        <v>15</v>
      </c>
      <c r="Z197" s="78" t="s">
        <v>41</v>
      </c>
    </row>
    <row r="198" spans="1:26">
      <c r="A198" s="72">
        <v>197</v>
      </c>
      <c r="B198" s="81" t="s">
        <v>669</v>
      </c>
      <c r="C198" s="85" t="s">
        <v>134</v>
      </c>
      <c r="D198" s="85" t="s">
        <v>134</v>
      </c>
      <c r="E198" s="85" t="s">
        <v>134</v>
      </c>
      <c r="F198" s="85" t="s">
        <v>134</v>
      </c>
      <c r="G198" s="85" t="s">
        <v>134</v>
      </c>
      <c r="H198" s="85" t="s">
        <v>134</v>
      </c>
      <c r="I198" s="100" t="s">
        <v>670</v>
      </c>
      <c r="J198" s="100" t="s">
        <v>671</v>
      </c>
      <c r="K198" s="100" t="s">
        <v>144</v>
      </c>
      <c r="L198" s="100" t="s">
        <v>672</v>
      </c>
      <c r="M198" s="81"/>
      <c r="N198" s="81"/>
      <c r="O198" s="77" t="s">
        <v>15</v>
      </c>
      <c r="P198" s="77" t="s">
        <v>15</v>
      </c>
      <c r="Q198" s="77" t="s">
        <v>15</v>
      </c>
      <c r="R198" s="77" t="s">
        <v>15</v>
      </c>
      <c r="S198" s="77" t="s">
        <v>15</v>
      </c>
      <c r="T198" s="77" t="s">
        <v>15</v>
      </c>
      <c r="U198" s="78" t="s">
        <v>41</v>
      </c>
      <c r="V198" s="78" t="s">
        <v>41</v>
      </c>
      <c r="W198" s="78" t="s">
        <v>41</v>
      </c>
      <c r="X198" s="78" t="s">
        <v>41</v>
      </c>
      <c r="Y198" s="78" t="s">
        <v>41</v>
      </c>
      <c r="Z198" s="78" t="s">
        <v>41</v>
      </c>
    </row>
    <row r="199" spans="1:26">
      <c r="A199" s="72">
        <v>198</v>
      </c>
      <c r="B199" s="81" t="s">
        <v>673</v>
      </c>
      <c r="C199" s="85" t="s">
        <v>141</v>
      </c>
      <c r="D199" s="85" t="s">
        <v>141</v>
      </c>
      <c r="E199" s="85" t="s">
        <v>141</v>
      </c>
      <c r="F199" s="85" t="s">
        <v>141</v>
      </c>
      <c r="G199" s="85" t="s">
        <v>141</v>
      </c>
      <c r="H199" s="85" t="s">
        <v>134</v>
      </c>
      <c r="I199" s="100" t="s">
        <v>674</v>
      </c>
      <c r="J199" s="100" t="s">
        <v>675</v>
      </c>
      <c r="K199" s="100" t="s">
        <v>144</v>
      </c>
      <c r="L199" s="100" t="s">
        <v>672</v>
      </c>
      <c r="M199" s="81"/>
      <c r="N199" s="81"/>
      <c r="O199" s="77" t="s">
        <v>15</v>
      </c>
      <c r="P199" s="77" t="s">
        <v>15</v>
      </c>
      <c r="Q199" s="77" t="s">
        <v>15</v>
      </c>
      <c r="R199" s="77" t="s">
        <v>15</v>
      </c>
      <c r="S199" s="77" t="s">
        <v>15</v>
      </c>
      <c r="T199" s="77" t="s">
        <v>15</v>
      </c>
      <c r="U199" s="77" t="s">
        <v>15</v>
      </c>
      <c r="V199" s="77" t="s">
        <v>15</v>
      </c>
      <c r="W199" s="78" t="s">
        <v>41</v>
      </c>
      <c r="X199" s="77" t="s">
        <v>15</v>
      </c>
      <c r="Y199" s="77" t="s">
        <v>15</v>
      </c>
      <c r="Z199" s="77" t="s">
        <v>15</v>
      </c>
    </row>
    <row r="200" spans="1:26">
      <c r="A200" s="72">
        <v>199</v>
      </c>
      <c r="B200" s="81" t="s">
        <v>676</v>
      </c>
      <c r="C200" s="85" t="s">
        <v>141</v>
      </c>
      <c r="D200" s="85" t="s">
        <v>141</v>
      </c>
      <c r="E200" s="85" t="s">
        <v>141</v>
      </c>
      <c r="F200" s="85" t="s">
        <v>134</v>
      </c>
      <c r="G200" s="85" t="s">
        <v>141</v>
      </c>
      <c r="H200" s="85" t="s">
        <v>141</v>
      </c>
      <c r="I200" s="100" t="s">
        <v>677</v>
      </c>
      <c r="J200" s="100" t="s">
        <v>678</v>
      </c>
      <c r="K200" s="100" t="s">
        <v>144</v>
      </c>
      <c r="L200" s="100" t="s">
        <v>672</v>
      </c>
      <c r="M200" s="81"/>
      <c r="N200" s="81"/>
      <c r="O200" s="77" t="s">
        <v>15</v>
      </c>
      <c r="P200" s="77" t="s">
        <v>15</v>
      </c>
      <c r="Q200" s="77" t="s">
        <v>15</v>
      </c>
      <c r="R200" s="77" t="s">
        <v>15</v>
      </c>
      <c r="S200" s="77" t="s">
        <v>15</v>
      </c>
      <c r="T200" s="77" t="s">
        <v>15</v>
      </c>
      <c r="U200" s="78" t="s">
        <v>41</v>
      </c>
      <c r="V200" s="77" t="s">
        <v>15</v>
      </c>
      <c r="W200" s="77" t="s">
        <v>15</v>
      </c>
      <c r="X200" s="77" t="s">
        <v>15</v>
      </c>
      <c r="Y200" s="77" t="s">
        <v>15</v>
      </c>
      <c r="Z200" s="77" t="s">
        <v>15</v>
      </c>
    </row>
    <row r="201" spans="1:26">
      <c r="A201" s="72">
        <v>200</v>
      </c>
      <c r="B201" s="81" t="s">
        <v>679</v>
      </c>
      <c r="C201" s="85" t="s">
        <v>141</v>
      </c>
      <c r="D201" s="85" t="s">
        <v>141</v>
      </c>
      <c r="E201" s="85" t="s">
        <v>141</v>
      </c>
      <c r="F201" s="85" t="s">
        <v>141</v>
      </c>
      <c r="G201" s="85" t="s">
        <v>134</v>
      </c>
      <c r="H201" s="85" t="s">
        <v>141</v>
      </c>
      <c r="I201" s="100" t="s">
        <v>680</v>
      </c>
      <c r="J201" s="100" t="s">
        <v>681</v>
      </c>
      <c r="K201" s="100" t="s">
        <v>144</v>
      </c>
      <c r="L201" s="100" t="s">
        <v>672</v>
      </c>
      <c r="M201" s="81"/>
      <c r="N201" s="81"/>
      <c r="O201" s="77" t="s">
        <v>15</v>
      </c>
      <c r="P201" s="77" t="s">
        <v>15</v>
      </c>
      <c r="Q201" s="77" t="s">
        <v>15</v>
      </c>
      <c r="R201" s="77" t="s">
        <v>15</v>
      </c>
      <c r="S201" s="77" t="s">
        <v>15</v>
      </c>
      <c r="T201" s="77" t="s">
        <v>15</v>
      </c>
      <c r="U201" s="77" t="s">
        <v>15</v>
      </c>
      <c r="V201" s="78" t="s">
        <v>41</v>
      </c>
      <c r="W201" s="77" t="s">
        <v>15</v>
      </c>
      <c r="X201" s="77" t="s">
        <v>15</v>
      </c>
      <c r="Y201" s="77" t="s">
        <v>15</v>
      </c>
      <c r="Z201" s="77" t="s">
        <v>15</v>
      </c>
    </row>
    <row r="202" spans="1:26">
      <c r="A202" s="111"/>
      <c r="B202" s="111"/>
      <c r="C202" s="111"/>
      <c r="D202" s="111"/>
      <c r="E202" s="111"/>
      <c r="F202" s="111"/>
      <c r="G202" s="111"/>
      <c r="H202" s="111"/>
      <c r="I202" s="112"/>
      <c r="J202" s="112"/>
      <c r="K202" s="87"/>
      <c r="L202" s="88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>
      <c r="A203" s="111"/>
      <c r="B203" s="111"/>
      <c r="C203" s="111"/>
      <c r="D203" s="111"/>
      <c r="E203" s="111"/>
      <c r="F203" s="111"/>
      <c r="G203" s="111"/>
      <c r="H203" s="111"/>
      <c r="I203" s="112"/>
      <c r="J203" s="112"/>
      <c r="K203" s="87"/>
      <c r="L203" s="88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>
      <c r="A204" s="111"/>
      <c r="B204" s="111"/>
      <c r="C204" s="111"/>
      <c r="D204" s="111"/>
      <c r="E204" s="111"/>
      <c r="F204" s="111"/>
      <c r="G204" s="111"/>
      <c r="H204" s="111"/>
      <c r="I204" s="112"/>
      <c r="J204" s="112"/>
      <c r="K204" s="87"/>
      <c r="L204" s="88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>
      <c r="A205" s="111"/>
      <c r="B205" s="111"/>
      <c r="C205" s="111"/>
      <c r="D205" s="111"/>
      <c r="E205" s="111"/>
      <c r="F205" s="111"/>
      <c r="G205" s="111"/>
      <c r="H205" s="111"/>
      <c r="I205" s="112"/>
      <c r="J205" s="112"/>
      <c r="K205" s="87"/>
      <c r="L205" s="88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>
      <c r="A206" s="111"/>
      <c r="B206" s="111"/>
      <c r="C206" s="111"/>
      <c r="D206" s="111"/>
      <c r="E206" s="111"/>
      <c r="F206" s="111"/>
      <c r="G206" s="111"/>
      <c r="H206" s="111"/>
      <c r="I206" s="112"/>
      <c r="J206" s="112"/>
      <c r="K206" s="87"/>
      <c r="L206" s="88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>
      <c r="A207" s="111"/>
      <c r="B207" s="111"/>
      <c r="C207" s="111"/>
      <c r="D207" s="111"/>
      <c r="E207" s="111"/>
      <c r="F207" s="111"/>
      <c r="G207" s="111"/>
      <c r="H207" s="111"/>
      <c r="I207" s="112"/>
      <c r="J207" s="112"/>
      <c r="K207" s="87"/>
      <c r="L207" s="88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>
      <c r="A208" s="111"/>
      <c r="B208" s="111"/>
      <c r="C208" s="111"/>
      <c r="D208" s="111"/>
      <c r="E208" s="111"/>
      <c r="F208" s="111"/>
      <c r="G208" s="111"/>
      <c r="H208" s="111"/>
      <c r="I208" s="87"/>
      <c r="J208" s="87"/>
      <c r="K208" s="87"/>
      <c r="L208" s="88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9:14">
      <c r="I209" s="87"/>
      <c r="J209" s="87"/>
      <c r="K209" s="87"/>
      <c r="L209" s="88"/>
      <c r="M209" s="111"/>
      <c r="N209" s="111"/>
    </row>
    <row r="210" spans="9:14">
      <c r="I210" s="87"/>
      <c r="J210" s="87"/>
      <c r="K210" s="87"/>
      <c r="L210" s="88"/>
      <c r="M210" s="111"/>
      <c r="N210" s="111"/>
    </row>
    <row r="211" spans="9:14">
      <c r="I211" s="87"/>
      <c r="J211" s="87"/>
      <c r="K211" s="87"/>
      <c r="L211" s="88"/>
      <c r="M211" s="111"/>
      <c r="N211" s="111"/>
    </row>
    <row r="212" spans="9:14">
      <c r="I212" s="87"/>
      <c r="J212" s="87"/>
      <c r="K212" s="87"/>
      <c r="L212" s="88"/>
      <c r="M212" s="111"/>
      <c r="N212" s="111"/>
    </row>
    <row r="213" spans="9:14">
      <c r="I213" s="87"/>
      <c r="J213" s="87"/>
      <c r="K213" s="87"/>
      <c r="L213" s="88"/>
      <c r="M213" s="111"/>
      <c r="N213" s="111"/>
    </row>
    <row r="214" spans="9:14">
      <c r="I214" s="87"/>
      <c r="J214" s="87"/>
      <c r="K214" s="87"/>
      <c r="L214" s="88"/>
      <c r="M214" s="111"/>
      <c r="N214" s="111"/>
    </row>
    <row r="215" spans="9:14">
      <c r="I215" s="87"/>
      <c r="J215" s="87"/>
      <c r="K215" s="87"/>
      <c r="L215" s="88"/>
      <c r="M215" s="111"/>
      <c r="N215" s="111"/>
    </row>
    <row r="216" spans="9:14">
      <c r="I216" s="87"/>
      <c r="J216" s="87"/>
      <c r="K216" s="87"/>
      <c r="L216" s="88"/>
      <c r="M216" s="111"/>
      <c r="N216" s="111"/>
    </row>
    <row r="217" spans="9:14">
      <c r="I217" s="87"/>
      <c r="J217" s="87"/>
      <c r="K217" s="87"/>
      <c r="L217" s="88"/>
      <c r="M217" s="111"/>
      <c r="N217" s="111"/>
    </row>
    <row r="218" spans="9:14">
      <c r="I218" s="87"/>
      <c r="J218" s="87"/>
      <c r="K218" s="87"/>
      <c r="L218" s="88"/>
      <c r="M218" s="111"/>
      <c r="N218" s="111"/>
    </row>
    <row r="219" spans="9:14">
      <c r="I219" s="87"/>
      <c r="J219" s="87"/>
      <c r="K219" s="87"/>
      <c r="L219" s="88"/>
      <c r="M219" s="111"/>
      <c r="N219" s="111"/>
    </row>
    <row r="220" spans="9:14">
      <c r="I220" s="87"/>
      <c r="J220" s="87"/>
      <c r="K220" s="87"/>
      <c r="L220" s="88"/>
      <c r="M220" s="111"/>
      <c r="N220" s="111"/>
    </row>
    <row r="221" spans="9:14">
      <c r="I221" s="87"/>
      <c r="J221" s="87"/>
      <c r="K221" s="87"/>
      <c r="L221" s="88"/>
      <c r="M221" s="111"/>
      <c r="N221" s="111"/>
    </row>
    <row r="222" spans="9:14">
      <c r="I222" s="87"/>
      <c r="J222" s="87"/>
      <c r="K222" s="87"/>
      <c r="L222" s="88"/>
      <c r="M222" s="111"/>
      <c r="N222" s="111"/>
    </row>
    <row r="223" spans="9:14">
      <c r="I223" s="87"/>
      <c r="J223" s="87"/>
      <c r="K223" s="87"/>
      <c r="L223" s="88"/>
      <c r="M223" s="111"/>
      <c r="N223" s="111"/>
    </row>
    <row r="224" spans="9:14">
      <c r="I224" s="87"/>
      <c r="J224" s="87"/>
      <c r="K224" s="87"/>
      <c r="L224" s="88"/>
      <c r="M224" s="111"/>
      <c r="N224" s="111"/>
    </row>
    <row r="225" spans="9:14">
      <c r="I225" s="87"/>
      <c r="J225" s="87"/>
      <c r="K225" s="87"/>
      <c r="L225" s="88"/>
      <c r="M225" s="111"/>
      <c r="N225" s="111"/>
    </row>
    <row r="226" spans="9:14">
      <c r="I226" s="87"/>
      <c r="J226" s="87"/>
      <c r="K226" s="87"/>
      <c r="L226" s="88"/>
      <c r="M226" s="111"/>
      <c r="N226" s="111"/>
    </row>
    <row r="227" spans="9:14">
      <c r="I227" s="87"/>
      <c r="J227" s="87"/>
      <c r="K227" s="87"/>
      <c r="L227" s="88"/>
      <c r="M227" s="111"/>
      <c r="N227" s="111"/>
    </row>
    <row r="228" spans="9:14">
      <c r="I228" s="87"/>
      <c r="J228" s="87"/>
      <c r="K228" s="87"/>
      <c r="L228" s="88"/>
      <c r="M228" s="111"/>
      <c r="N228" s="111"/>
    </row>
    <row r="229" spans="9:14">
      <c r="I229" s="87"/>
      <c r="J229" s="87"/>
      <c r="K229" s="87"/>
      <c r="L229" s="88"/>
      <c r="M229" s="111"/>
      <c r="N229" s="111"/>
    </row>
    <row r="230" spans="9:14">
      <c r="I230" s="87"/>
      <c r="J230" s="87"/>
      <c r="K230" s="87"/>
      <c r="L230" s="88"/>
      <c r="M230" s="111"/>
      <c r="N230" s="111"/>
    </row>
    <row r="231" spans="9:14">
      <c r="I231" s="87"/>
      <c r="J231" s="87"/>
      <c r="K231" s="87"/>
      <c r="L231" s="88"/>
      <c r="M231" s="111"/>
      <c r="N231" s="111"/>
    </row>
    <row r="232" spans="9:14">
      <c r="I232" s="87"/>
      <c r="J232" s="87"/>
      <c r="K232" s="87"/>
      <c r="L232" s="88"/>
      <c r="M232" s="111"/>
      <c r="N232" s="111"/>
    </row>
    <row r="233" spans="9:14">
      <c r="I233" s="87"/>
      <c r="J233" s="87"/>
      <c r="K233" s="87"/>
      <c r="L233" s="88"/>
      <c r="M233" s="111"/>
      <c r="N233" s="111"/>
    </row>
    <row r="234" spans="9:14">
      <c r="I234" s="87"/>
      <c r="J234" s="87"/>
      <c r="K234" s="87"/>
      <c r="L234" s="88"/>
      <c r="M234" s="111"/>
      <c r="N234" s="111"/>
    </row>
    <row r="235" spans="9:14">
      <c r="I235" s="87"/>
      <c r="J235" s="87"/>
      <c r="K235" s="87"/>
      <c r="L235" s="88"/>
      <c r="M235" s="111"/>
      <c r="N235" s="111"/>
    </row>
    <row r="236" spans="9:14">
      <c r="I236" s="87"/>
      <c r="J236" s="87"/>
      <c r="K236" s="87"/>
      <c r="L236" s="88"/>
      <c r="M236" s="111"/>
      <c r="N236" s="111"/>
    </row>
    <row r="237" spans="9:14">
      <c r="I237" s="87"/>
      <c r="J237" s="87"/>
      <c r="K237" s="87"/>
      <c r="L237" s="88"/>
      <c r="M237" s="111"/>
      <c r="N237" s="111"/>
    </row>
    <row r="238" spans="9:14">
      <c r="I238" s="87"/>
      <c r="J238" s="87"/>
      <c r="K238" s="87"/>
      <c r="L238" s="88"/>
      <c r="M238" s="111"/>
      <c r="N238" s="111"/>
    </row>
    <row r="239" spans="9:14">
      <c r="I239" s="87"/>
      <c r="J239" s="87"/>
      <c r="K239" s="87"/>
      <c r="L239" s="88"/>
      <c r="M239" s="111"/>
      <c r="N239" s="111"/>
    </row>
    <row r="240" spans="9:14">
      <c r="I240" s="87"/>
      <c r="J240" s="87"/>
      <c r="K240" s="87"/>
      <c r="L240" s="88"/>
      <c r="M240" s="111"/>
      <c r="N240" s="111"/>
    </row>
    <row r="241" spans="9:14">
      <c r="I241" s="87"/>
      <c r="J241" s="87"/>
      <c r="K241" s="87"/>
      <c r="L241" s="88"/>
      <c r="M241" s="111"/>
      <c r="N241" s="111"/>
    </row>
    <row r="242" spans="9:14">
      <c r="I242" s="87"/>
      <c r="J242" s="87"/>
      <c r="K242" s="87"/>
      <c r="L242" s="88"/>
      <c r="M242" s="111"/>
      <c r="N242" s="111"/>
    </row>
    <row r="243" spans="9:14">
      <c r="I243" s="87"/>
      <c r="J243" s="87"/>
      <c r="K243" s="87"/>
      <c r="L243" s="88"/>
      <c r="M243" s="111"/>
      <c r="N243" s="111"/>
    </row>
    <row r="244" spans="9:14">
      <c r="I244" s="87"/>
      <c r="J244" s="87"/>
      <c r="K244" s="87"/>
      <c r="L244" s="88"/>
      <c r="M244" s="111"/>
      <c r="N244" s="111"/>
    </row>
    <row r="245" spans="9:14">
      <c r="I245" s="87"/>
      <c r="J245" s="87"/>
      <c r="K245" s="87"/>
      <c r="L245" s="88"/>
      <c r="M245" s="111"/>
      <c r="N245" s="111"/>
    </row>
    <row r="246" spans="9:14">
      <c r="I246" s="87"/>
      <c r="J246" s="87"/>
      <c r="K246" s="87"/>
      <c r="L246" s="88"/>
      <c r="M246" s="111"/>
      <c r="N246" s="111"/>
    </row>
    <row r="247" spans="9:14">
      <c r="I247" s="87"/>
      <c r="J247" s="87"/>
      <c r="K247" s="87"/>
      <c r="L247" s="88"/>
      <c r="M247" s="111"/>
      <c r="N247" s="111"/>
    </row>
    <row r="248" spans="9:14">
      <c r="I248" s="87"/>
      <c r="J248" s="87"/>
      <c r="K248" s="87"/>
      <c r="L248" s="88"/>
      <c r="M248" s="111"/>
      <c r="N248" s="111"/>
    </row>
    <row r="249" spans="9:14">
      <c r="I249" s="87"/>
      <c r="J249" s="87"/>
      <c r="K249" s="87"/>
      <c r="L249" s="88"/>
      <c r="M249" s="111"/>
      <c r="N249" s="111"/>
    </row>
    <row r="250" spans="9:14">
      <c r="I250" s="87"/>
      <c r="J250" s="87"/>
      <c r="K250" s="87"/>
      <c r="L250" s="88"/>
      <c r="M250" s="111"/>
      <c r="N250" s="111"/>
    </row>
    <row r="251" spans="9:14">
      <c r="I251" s="87"/>
      <c r="J251" s="87"/>
      <c r="K251" s="87"/>
      <c r="L251" s="88"/>
      <c r="M251" s="111"/>
      <c r="N251" s="111"/>
    </row>
    <row r="252" spans="9:14">
      <c r="I252" s="87"/>
      <c r="J252" s="87"/>
      <c r="K252" s="87"/>
      <c r="L252" s="88"/>
      <c r="M252" s="111"/>
      <c r="N252" s="111"/>
    </row>
    <row r="253" spans="9:14">
      <c r="I253" s="87"/>
      <c r="J253" s="87"/>
      <c r="K253" s="87"/>
      <c r="L253" s="88"/>
      <c r="M253" s="111"/>
      <c r="N253" s="111"/>
    </row>
    <row r="254" spans="9:14">
      <c r="I254" s="87"/>
      <c r="J254" s="87"/>
      <c r="K254" s="87"/>
      <c r="L254" s="88"/>
      <c r="M254" s="111"/>
      <c r="N254" s="111"/>
    </row>
    <row r="255" spans="9:14">
      <c r="I255" s="87"/>
      <c r="J255" s="87"/>
      <c r="K255" s="87"/>
      <c r="L255" s="88"/>
      <c r="M255" s="111"/>
      <c r="N255" s="111"/>
    </row>
    <row r="256" spans="9:14">
      <c r="I256" s="87"/>
      <c r="J256" s="87"/>
      <c r="K256" s="87"/>
      <c r="L256" s="88"/>
      <c r="M256" s="111"/>
      <c r="N256" s="111"/>
    </row>
    <row r="257" spans="9:14">
      <c r="I257" s="87"/>
      <c r="J257" s="87"/>
      <c r="K257" s="87"/>
      <c r="L257" s="88"/>
      <c r="M257" s="111"/>
      <c r="N257" s="111"/>
    </row>
    <row r="258" spans="9:14">
      <c r="I258" s="87"/>
      <c r="J258" s="87"/>
      <c r="K258" s="87"/>
      <c r="L258" s="88"/>
      <c r="M258" s="111"/>
      <c r="N258" s="111"/>
    </row>
    <row r="259" spans="9:14">
      <c r="I259" s="87"/>
      <c r="J259" s="87"/>
      <c r="K259" s="87"/>
      <c r="L259" s="88"/>
      <c r="M259" s="111"/>
      <c r="N259" s="111"/>
    </row>
    <row r="260" spans="9:14">
      <c r="I260" s="87"/>
      <c r="J260" s="87"/>
      <c r="K260" s="87"/>
      <c r="L260" s="88"/>
      <c r="M260" s="111"/>
      <c r="N260" s="111"/>
    </row>
    <row r="261" spans="9:14">
      <c r="I261" s="87"/>
      <c r="J261" s="87"/>
      <c r="K261" s="87"/>
      <c r="L261" s="88"/>
      <c r="M261" s="111"/>
      <c r="N261" s="111"/>
    </row>
    <row r="262" spans="9:14">
      <c r="I262" s="87"/>
      <c r="J262" s="87"/>
      <c r="K262" s="87"/>
      <c r="L262" s="88"/>
      <c r="M262" s="111"/>
      <c r="N262" s="111"/>
    </row>
    <row r="263" spans="9:14">
      <c r="I263" s="87"/>
      <c r="J263" s="87"/>
      <c r="K263" s="87"/>
      <c r="L263" s="88"/>
      <c r="M263" s="111"/>
      <c r="N263" s="111"/>
    </row>
    <row r="264" spans="9:14">
      <c r="I264" s="87"/>
      <c r="J264" s="87"/>
      <c r="K264" s="87"/>
      <c r="L264" s="88"/>
      <c r="M264" s="111"/>
      <c r="N264" s="111"/>
    </row>
    <row r="265" spans="9:14">
      <c r="I265" s="87"/>
      <c r="J265" s="87"/>
      <c r="K265" s="87"/>
      <c r="L265" s="88"/>
      <c r="M265" s="111"/>
      <c r="N265" s="111"/>
    </row>
    <row r="266" spans="9:14">
      <c r="I266" s="87"/>
      <c r="J266" s="87"/>
      <c r="K266" s="87"/>
      <c r="L266" s="88"/>
      <c r="M266" s="111"/>
      <c r="N266" s="111"/>
    </row>
    <row r="267" spans="9:14">
      <c r="I267" s="87"/>
      <c r="J267" s="87"/>
      <c r="K267" s="87"/>
      <c r="L267" s="88"/>
      <c r="M267" s="111"/>
      <c r="N267" s="111"/>
    </row>
    <row r="268" spans="9:14">
      <c r="I268" s="87"/>
      <c r="J268" s="87"/>
      <c r="K268" s="87"/>
      <c r="L268" s="88"/>
      <c r="M268" s="111"/>
      <c r="N268" s="111"/>
    </row>
    <row r="269" spans="9:14">
      <c r="I269" s="87"/>
      <c r="J269" s="87"/>
      <c r="K269" s="87"/>
      <c r="L269" s="88"/>
      <c r="M269" s="111"/>
      <c r="N269" s="111"/>
    </row>
    <row r="270" spans="9:14">
      <c r="I270" s="87"/>
      <c r="J270" s="87"/>
      <c r="K270" s="87"/>
      <c r="L270" s="88"/>
      <c r="M270" s="111"/>
      <c r="N270" s="111"/>
    </row>
    <row r="271" spans="9:14">
      <c r="I271" s="87"/>
      <c r="J271" s="87"/>
      <c r="K271" s="87"/>
      <c r="L271" s="88"/>
      <c r="M271" s="111"/>
      <c r="N271" s="111"/>
    </row>
    <row r="272" spans="9:14">
      <c r="I272" s="87"/>
      <c r="J272" s="87"/>
      <c r="K272" s="87"/>
      <c r="L272" s="88"/>
      <c r="M272" s="111"/>
      <c r="N272" s="111"/>
    </row>
    <row r="273" spans="9:14">
      <c r="I273" s="87"/>
      <c r="J273" s="87"/>
      <c r="K273" s="87"/>
      <c r="L273" s="88"/>
      <c r="M273" s="111"/>
      <c r="N273" s="111"/>
    </row>
    <row r="274" spans="9:14">
      <c r="I274" s="87"/>
      <c r="J274" s="87"/>
      <c r="K274" s="87"/>
      <c r="L274" s="88"/>
      <c r="M274" s="111"/>
      <c r="N274" s="111"/>
    </row>
    <row r="275" spans="9:14">
      <c r="I275" s="87"/>
      <c r="J275" s="87"/>
      <c r="K275" s="87"/>
      <c r="L275" s="88"/>
      <c r="M275" s="111"/>
      <c r="N275" s="111"/>
    </row>
    <row r="276" spans="9:14">
      <c r="I276" s="87"/>
      <c r="J276" s="87"/>
      <c r="K276" s="87"/>
      <c r="L276" s="88"/>
      <c r="M276" s="111"/>
      <c r="N276" s="111"/>
    </row>
    <row r="277" spans="9:14">
      <c r="I277" s="87"/>
      <c r="J277" s="87"/>
      <c r="K277" s="87"/>
      <c r="L277" s="88"/>
      <c r="M277" s="111"/>
      <c r="N277" s="111"/>
    </row>
    <row r="278" spans="9:14">
      <c r="I278" s="87"/>
      <c r="J278" s="87"/>
      <c r="K278" s="87"/>
      <c r="L278" s="88"/>
      <c r="M278" s="111"/>
      <c r="N278" s="111"/>
    </row>
    <row r="279" spans="9:14">
      <c r="I279" s="87"/>
      <c r="J279" s="87"/>
      <c r="K279" s="87"/>
      <c r="L279" s="88"/>
      <c r="M279" s="111"/>
      <c r="N279" s="111"/>
    </row>
    <row r="280" spans="9:14">
      <c r="I280" s="87"/>
      <c r="J280" s="87"/>
      <c r="K280" s="87"/>
      <c r="L280" s="88"/>
      <c r="M280" s="111"/>
      <c r="N280" s="111"/>
    </row>
    <row r="281" spans="9:14">
      <c r="I281" s="87"/>
      <c r="J281" s="87"/>
      <c r="K281" s="87"/>
      <c r="L281" s="88"/>
      <c r="M281" s="111"/>
      <c r="N281" s="111"/>
    </row>
    <row r="282" spans="9:14">
      <c r="I282" s="87"/>
      <c r="J282" s="87"/>
      <c r="K282" s="87"/>
      <c r="L282" s="88"/>
      <c r="M282" s="111"/>
      <c r="N282" s="111"/>
    </row>
    <row r="283" spans="9:14">
      <c r="I283" s="87"/>
      <c r="J283" s="87"/>
      <c r="K283" s="87"/>
      <c r="L283" s="88"/>
      <c r="M283" s="111"/>
      <c r="N283" s="111"/>
    </row>
    <row r="284" spans="9:14">
      <c r="I284" s="87"/>
      <c r="J284" s="87"/>
      <c r="K284" s="87"/>
      <c r="L284" s="88"/>
      <c r="M284" s="111"/>
      <c r="N284" s="111"/>
    </row>
    <row r="285" spans="9:14">
      <c r="I285" s="87"/>
      <c r="J285" s="87"/>
      <c r="K285" s="87"/>
      <c r="L285" s="88"/>
      <c r="M285" s="111"/>
      <c r="N285" s="111"/>
    </row>
    <row r="286" spans="9:14">
      <c r="I286" s="87"/>
      <c r="J286" s="87"/>
      <c r="K286" s="87"/>
      <c r="L286" s="88"/>
      <c r="M286" s="111"/>
      <c r="N286" s="111"/>
    </row>
    <row r="287" spans="9:14">
      <c r="I287" s="87"/>
      <c r="J287" s="87"/>
      <c r="K287" s="87"/>
      <c r="L287" s="88"/>
      <c r="M287" s="111"/>
      <c r="N287" s="111"/>
    </row>
    <row r="288" spans="9:14">
      <c r="I288" s="87"/>
      <c r="J288" s="87"/>
      <c r="K288" s="87"/>
      <c r="L288" s="88"/>
      <c r="M288" s="111"/>
      <c r="N288" s="111"/>
    </row>
    <row r="289" spans="9:14">
      <c r="I289" s="87"/>
      <c r="J289" s="87"/>
      <c r="K289" s="87"/>
      <c r="L289" s="88"/>
      <c r="M289" s="111"/>
      <c r="N289" s="111"/>
    </row>
    <row r="290" spans="9:14">
      <c r="I290" s="87"/>
      <c r="J290" s="87"/>
      <c r="K290" s="87"/>
      <c r="L290" s="88"/>
      <c r="M290" s="111"/>
      <c r="N290" s="111"/>
    </row>
    <row r="291" spans="9:14">
      <c r="I291" s="87"/>
      <c r="J291" s="87"/>
      <c r="K291" s="87"/>
      <c r="L291" s="88"/>
      <c r="M291" s="111"/>
      <c r="N291" s="111"/>
    </row>
    <row r="292" spans="9:14">
      <c r="I292" s="87"/>
      <c r="J292" s="87"/>
      <c r="K292" s="87"/>
      <c r="L292" s="88"/>
      <c r="M292" s="111"/>
      <c r="N292" s="111"/>
    </row>
    <row r="293" spans="9:14">
      <c r="I293" s="87"/>
      <c r="J293" s="87"/>
      <c r="K293" s="87"/>
      <c r="L293" s="88"/>
      <c r="M293" s="111"/>
      <c r="N293" s="111"/>
    </row>
    <row r="294" spans="9:14">
      <c r="I294" s="87"/>
      <c r="J294" s="87"/>
      <c r="K294" s="87"/>
      <c r="L294" s="88"/>
      <c r="M294" s="111"/>
      <c r="N294" s="111"/>
    </row>
    <row r="295" spans="9:14">
      <c r="I295" s="87"/>
      <c r="J295" s="87"/>
      <c r="K295" s="87"/>
      <c r="L295" s="88"/>
      <c r="M295" s="111"/>
      <c r="N295" s="111"/>
    </row>
    <row r="296" spans="9:14">
      <c r="I296" s="87"/>
      <c r="J296" s="87"/>
      <c r="K296" s="87"/>
      <c r="L296" s="88"/>
      <c r="M296" s="111"/>
      <c r="N296" s="111"/>
    </row>
    <row r="297" spans="9:14">
      <c r="I297" s="87"/>
      <c r="J297" s="87"/>
      <c r="K297" s="87"/>
      <c r="L297" s="88"/>
      <c r="M297" s="111"/>
      <c r="N297" s="111"/>
    </row>
    <row r="298" spans="9:14">
      <c r="I298" s="87"/>
      <c r="J298" s="87"/>
      <c r="K298" s="87"/>
      <c r="L298" s="88"/>
      <c r="M298" s="111"/>
      <c r="N298" s="111"/>
    </row>
    <row r="299" spans="9:14">
      <c r="I299" s="87"/>
      <c r="J299" s="87"/>
      <c r="K299" s="87"/>
      <c r="L299" s="88"/>
      <c r="M299" s="111"/>
      <c r="N299" s="111"/>
    </row>
    <row r="300" spans="9:14">
      <c r="I300" s="87"/>
      <c r="J300" s="87"/>
      <c r="K300" s="87"/>
      <c r="L300" s="88"/>
      <c r="M300" s="111"/>
      <c r="N300" s="111"/>
    </row>
    <row r="301" spans="9:14">
      <c r="I301" s="87"/>
      <c r="J301" s="87"/>
      <c r="K301" s="87"/>
      <c r="L301" s="88"/>
      <c r="M301" s="111"/>
      <c r="N301" s="111"/>
    </row>
    <row r="302" spans="9:14">
      <c r="I302" s="87"/>
      <c r="J302" s="87"/>
      <c r="K302" s="87"/>
      <c r="L302" s="88"/>
      <c r="M302" s="111"/>
      <c r="N302" s="111"/>
    </row>
    <row r="303" spans="9:14">
      <c r="I303" s="87"/>
      <c r="J303" s="87"/>
      <c r="K303" s="87"/>
      <c r="L303" s="88"/>
      <c r="M303" s="111"/>
      <c r="N303" s="111"/>
    </row>
    <row r="304" spans="9:14">
      <c r="I304" s="87"/>
      <c r="J304" s="87"/>
      <c r="K304" s="87"/>
      <c r="L304" s="88"/>
      <c r="M304" s="111"/>
      <c r="N304" s="111"/>
    </row>
    <row r="305" spans="9:14">
      <c r="I305" s="87"/>
      <c r="J305" s="87"/>
      <c r="K305" s="87"/>
      <c r="L305" s="88"/>
      <c r="M305" s="111"/>
      <c r="N305" s="111"/>
    </row>
    <row r="306" spans="9:14">
      <c r="I306" s="87"/>
      <c r="J306" s="87"/>
      <c r="K306" s="87"/>
      <c r="L306" s="88"/>
      <c r="M306" s="111"/>
      <c r="N306" s="111"/>
    </row>
    <row r="307" spans="9:14">
      <c r="I307" s="87"/>
      <c r="J307" s="87"/>
      <c r="K307" s="87"/>
      <c r="L307" s="88"/>
      <c r="M307" s="111"/>
      <c r="N307" s="111"/>
    </row>
    <row r="308" spans="9:14">
      <c r="I308" s="87"/>
      <c r="J308" s="87"/>
      <c r="K308" s="87"/>
      <c r="L308" s="88"/>
      <c r="M308" s="111"/>
      <c r="N308" s="111"/>
    </row>
    <row r="309" spans="9:14">
      <c r="I309" s="87"/>
      <c r="J309" s="87"/>
      <c r="K309" s="87"/>
      <c r="L309" s="88"/>
      <c r="M309" s="111"/>
      <c r="N309" s="111"/>
    </row>
    <row r="310" spans="9:14">
      <c r="I310" s="87"/>
      <c r="J310" s="87"/>
      <c r="K310" s="87"/>
      <c r="L310" s="88"/>
      <c r="M310" s="111"/>
      <c r="N310" s="111"/>
    </row>
    <row r="311" spans="9:14">
      <c r="I311" s="87"/>
      <c r="J311" s="87"/>
      <c r="K311" s="87"/>
      <c r="L311" s="88"/>
      <c r="M311" s="111"/>
      <c r="N311" s="111"/>
    </row>
    <row r="312" spans="9:14">
      <c r="I312" s="87"/>
      <c r="J312" s="87"/>
      <c r="K312" s="87"/>
      <c r="L312" s="88"/>
      <c r="M312" s="111"/>
      <c r="N312" s="111"/>
    </row>
    <row r="313" spans="9:14">
      <c r="I313" s="87"/>
      <c r="J313" s="87"/>
      <c r="K313" s="87"/>
      <c r="L313" s="88"/>
      <c r="M313" s="111"/>
      <c r="N313" s="111"/>
    </row>
    <row r="314" spans="9:14">
      <c r="I314" s="87"/>
      <c r="J314" s="87"/>
      <c r="K314" s="87"/>
      <c r="L314" s="88"/>
      <c r="M314" s="111"/>
      <c r="N314" s="111"/>
    </row>
    <row r="315" spans="9:14">
      <c r="I315" s="87"/>
      <c r="J315" s="87"/>
      <c r="K315" s="87"/>
      <c r="L315" s="88"/>
      <c r="M315" s="111"/>
      <c r="N315" s="111"/>
    </row>
    <row r="316" spans="9:14">
      <c r="I316" s="87"/>
      <c r="J316" s="87"/>
      <c r="K316" s="87"/>
      <c r="L316" s="88"/>
      <c r="M316" s="111"/>
      <c r="N316" s="111"/>
    </row>
    <row r="317" spans="9:14">
      <c r="I317" s="87"/>
      <c r="J317" s="87"/>
      <c r="K317" s="87"/>
      <c r="L317" s="88"/>
      <c r="M317" s="111"/>
      <c r="N317" s="111"/>
    </row>
    <row r="318" spans="9:14">
      <c r="I318" s="87"/>
      <c r="J318" s="87"/>
      <c r="K318" s="87"/>
      <c r="L318" s="88"/>
      <c r="M318" s="111"/>
      <c r="N318" s="111"/>
    </row>
    <row r="319" spans="9:14">
      <c r="I319" s="87"/>
      <c r="J319" s="87"/>
      <c r="K319" s="87"/>
      <c r="L319" s="88"/>
      <c r="M319" s="111"/>
      <c r="N319" s="111"/>
    </row>
    <row r="320" spans="9:14">
      <c r="I320" s="87"/>
      <c r="J320" s="87"/>
      <c r="K320" s="87"/>
      <c r="L320" s="88"/>
      <c r="M320" s="111"/>
      <c r="N320" s="111"/>
    </row>
    <row r="321" spans="9:14">
      <c r="I321" s="87"/>
      <c r="J321" s="87"/>
      <c r="K321" s="87"/>
      <c r="L321" s="88"/>
      <c r="M321" s="111"/>
      <c r="N321" s="111"/>
    </row>
    <row r="322" spans="9:14">
      <c r="I322" s="87"/>
      <c r="J322" s="87"/>
      <c r="K322" s="87"/>
      <c r="L322" s="88"/>
      <c r="M322" s="111"/>
      <c r="N322" s="111"/>
    </row>
    <row r="323" spans="9:14">
      <c r="I323" s="87"/>
      <c r="J323" s="87"/>
      <c r="K323" s="87"/>
      <c r="L323" s="88"/>
      <c r="M323" s="111"/>
      <c r="N323" s="111"/>
    </row>
    <row r="324" spans="9:14">
      <c r="I324" s="87"/>
      <c r="J324" s="87"/>
      <c r="K324" s="87"/>
      <c r="L324" s="88"/>
      <c r="M324" s="111"/>
      <c r="N324" s="111"/>
    </row>
    <row r="325" spans="9:14">
      <c r="I325" s="87"/>
      <c r="J325" s="87"/>
      <c r="K325" s="87"/>
      <c r="L325" s="88"/>
      <c r="M325" s="111"/>
      <c r="N325" s="111"/>
    </row>
    <row r="326" spans="9:14">
      <c r="I326" s="87"/>
      <c r="J326" s="87"/>
      <c r="K326" s="87"/>
      <c r="L326" s="88"/>
      <c r="M326" s="111"/>
      <c r="N326" s="111"/>
    </row>
    <row r="327" spans="9:14">
      <c r="I327" s="87"/>
      <c r="J327" s="87"/>
      <c r="K327" s="87"/>
      <c r="L327" s="88"/>
      <c r="M327" s="111"/>
      <c r="N327" s="111"/>
    </row>
    <row r="328" spans="9:14">
      <c r="I328" s="87"/>
      <c r="J328" s="87"/>
      <c r="K328" s="87"/>
      <c r="L328" s="88"/>
      <c r="M328" s="111"/>
      <c r="N328" s="111"/>
    </row>
    <row r="329" spans="9:14">
      <c r="I329" s="87"/>
      <c r="J329" s="87"/>
      <c r="K329" s="87"/>
      <c r="L329" s="88"/>
      <c r="M329" s="111"/>
      <c r="N329" s="111"/>
    </row>
    <row r="330" spans="9:14">
      <c r="I330" s="87"/>
      <c r="J330" s="87"/>
      <c r="K330" s="87"/>
      <c r="L330" s="88"/>
      <c r="M330" s="111"/>
      <c r="N330" s="111"/>
    </row>
    <row r="331" spans="9:14">
      <c r="I331" s="87"/>
      <c r="J331" s="87"/>
      <c r="K331" s="87"/>
      <c r="L331" s="88"/>
      <c r="M331" s="111"/>
      <c r="N331" s="111"/>
    </row>
    <row r="332" spans="9:14">
      <c r="I332" s="87"/>
      <c r="J332" s="87"/>
      <c r="K332" s="87"/>
      <c r="L332" s="88"/>
      <c r="M332" s="111"/>
      <c r="N332" s="111"/>
    </row>
    <row r="333" spans="9:14">
      <c r="I333" s="87"/>
      <c r="J333" s="87"/>
      <c r="K333" s="87"/>
      <c r="L333" s="88"/>
      <c r="M333" s="111"/>
      <c r="N333" s="111"/>
    </row>
    <row r="334" spans="9:14">
      <c r="I334" s="87"/>
      <c r="J334" s="87"/>
      <c r="K334" s="87"/>
      <c r="L334" s="88"/>
      <c r="M334" s="111"/>
      <c r="N334" s="111"/>
    </row>
    <row r="335" spans="9:14">
      <c r="I335" s="87"/>
      <c r="J335" s="87"/>
      <c r="K335" s="87"/>
      <c r="L335" s="88"/>
      <c r="M335" s="111"/>
      <c r="N335" s="111"/>
    </row>
    <row r="336" spans="9:14">
      <c r="I336" s="87"/>
      <c r="J336" s="87"/>
      <c r="K336" s="87"/>
      <c r="L336" s="88"/>
      <c r="M336" s="111"/>
      <c r="N336" s="111"/>
    </row>
    <row r="337" spans="9:14">
      <c r="I337" s="87"/>
      <c r="J337" s="87"/>
      <c r="K337" s="87"/>
      <c r="L337" s="88"/>
      <c r="M337" s="111"/>
      <c r="N337" s="111"/>
    </row>
    <row r="338" spans="9:14">
      <c r="I338" s="87"/>
      <c r="J338" s="87"/>
      <c r="K338" s="87"/>
      <c r="L338" s="88"/>
      <c r="M338" s="111"/>
      <c r="N338" s="111"/>
    </row>
    <row r="339" spans="9:14">
      <c r="I339" s="87"/>
      <c r="J339" s="87"/>
      <c r="K339" s="87"/>
      <c r="L339" s="88"/>
      <c r="M339" s="111"/>
      <c r="N339" s="111"/>
    </row>
    <row r="340" spans="9:14">
      <c r="I340" s="87"/>
      <c r="J340" s="87"/>
      <c r="K340" s="87"/>
      <c r="L340" s="88"/>
      <c r="M340" s="111"/>
      <c r="N340" s="111"/>
    </row>
    <row r="341" spans="9:14">
      <c r="I341" s="87"/>
      <c r="J341" s="87"/>
      <c r="K341" s="87"/>
      <c r="L341" s="88"/>
      <c r="M341" s="111"/>
      <c r="N341" s="111"/>
    </row>
    <row r="342" spans="9:14">
      <c r="I342" s="87"/>
      <c r="J342" s="87"/>
      <c r="K342" s="87"/>
      <c r="L342" s="88"/>
      <c r="M342" s="111"/>
      <c r="N342" s="111"/>
    </row>
    <row r="343" spans="9:14">
      <c r="I343" s="87"/>
      <c r="J343" s="87"/>
      <c r="K343" s="87"/>
      <c r="L343" s="88"/>
      <c r="M343" s="111"/>
      <c r="N343" s="111"/>
    </row>
    <row r="344" spans="9:14">
      <c r="I344" s="87"/>
      <c r="J344" s="87"/>
      <c r="K344" s="87"/>
      <c r="L344" s="88"/>
      <c r="M344" s="111"/>
      <c r="N344" s="111"/>
    </row>
    <row r="345" spans="9:14">
      <c r="I345" s="87"/>
      <c r="J345" s="87"/>
      <c r="K345" s="87"/>
      <c r="L345" s="88"/>
      <c r="M345" s="111"/>
      <c r="N345" s="111"/>
    </row>
    <row r="346" spans="9:14">
      <c r="I346" s="87"/>
      <c r="J346" s="87"/>
      <c r="K346" s="87"/>
      <c r="L346" s="88"/>
      <c r="M346" s="111"/>
      <c r="N346" s="111"/>
    </row>
    <row r="347" spans="9:14">
      <c r="I347" s="87"/>
      <c r="J347" s="87"/>
      <c r="K347" s="87"/>
      <c r="L347" s="88"/>
      <c r="M347" s="111"/>
      <c r="N347" s="111"/>
    </row>
    <row r="348" spans="9:14">
      <c r="I348" s="87"/>
      <c r="J348" s="87"/>
      <c r="K348" s="87"/>
      <c r="L348" s="88"/>
      <c r="M348" s="111"/>
      <c r="N348" s="111"/>
    </row>
    <row r="349" spans="9:14">
      <c r="I349" s="87"/>
      <c r="J349" s="87"/>
      <c r="K349" s="87"/>
      <c r="L349" s="88"/>
      <c r="M349" s="111"/>
      <c r="N349" s="111"/>
    </row>
    <row r="350" spans="9:14">
      <c r="I350" s="87"/>
      <c r="J350" s="87"/>
      <c r="K350" s="87"/>
      <c r="L350" s="88"/>
      <c r="M350" s="111"/>
      <c r="N350" s="111"/>
    </row>
    <row r="351" spans="9:14">
      <c r="I351" s="87"/>
      <c r="J351" s="87"/>
      <c r="K351" s="87"/>
      <c r="L351" s="88"/>
      <c r="M351" s="111"/>
      <c r="N351" s="111"/>
    </row>
    <row r="352" spans="9:14">
      <c r="I352" s="87"/>
      <c r="J352" s="87"/>
      <c r="K352" s="87"/>
      <c r="L352" s="88"/>
      <c r="M352" s="111"/>
      <c r="N352" s="111"/>
    </row>
    <row r="353" spans="9:14">
      <c r="I353" s="87"/>
      <c r="J353" s="87"/>
      <c r="K353" s="87"/>
      <c r="L353" s="88"/>
      <c r="M353" s="111"/>
      <c r="N353" s="111"/>
    </row>
    <row r="354" spans="9:14">
      <c r="I354" s="87"/>
      <c r="J354" s="87"/>
      <c r="K354" s="87"/>
      <c r="L354" s="88"/>
      <c r="M354" s="111"/>
      <c r="N354" s="111"/>
    </row>
    <row r="355" spans="9:14">
      <c r="I355" s="87"/>
      <c r="J355" s="87"/>
      <c r="K355" s="87"/>
      <c r="L355" s="88"/>
      <c r="M355" s="111"/>
      <c r="N355" s="111"/>
    </row>
    <row r="356" spans="9:14">
      <c r="I356" s="87"/>
      <c r="J356" s="87"/>
      <c r="K356" s="87"/>
      <c r="L356" s="88"/>
      <c r="M356" s="111"/>
      <c r="N356" s="111"/>
    </row>
    <row r="357" spans="9:14">
      <c r="I357" s="87"/>
      <c r="J357" s="87"/>
      <c r="K357" s="87"/>
      <c r="L357" s="88"/>
      <c r="M357" s="111"/>
      <c r="N357" s="111"/>
    </row>
    <row r="358" spans="9:14">
      <c r="I358" s="87"/>
      <c r="J358" s="87"/>
      <c r="K358" s="87"/>
      <c r="L358" s="88"/>
      <c r="M358" s="111"/>
      <c r="N358" s="111"/>
    </row>
    <row r="359" spans="9:14">
      <c r="I359" s="87"/>
      <c r="J359" s="87"/>
      <c r="K359" s="87"/>
      <c r="L359" s="88"/>
      <c r="M359" s="111"/>
      <c r="N359" s="111"/>
    </row>
    <row r="360" spans="9:14">
      <c r="I360" s="87"/>
      <c r="J360" s="87"/>
      <c r="K360" s="87"/>
      <c r="L360" s="88"/>
      <c r="M360" s="111"/>
      <c r="N360" s="111"/>
    </row>
    <row r="361" spans="9:14">
      <c r="I361" s="87"/>
      <c r="J361" s="87"/>
      <c r="K361" s="87"/>
      <c r="L361" s="88"/>
      <c r="M361" s="111"/>
      <c r="N361" s="111"/>
    </row>
    <row r="362" spans="9:14">
      <c r="I362" s="87"/>
      <c r="J362" s="87"/>
      <c r="K362" s="87"/>
      <c r="L362" s="88"/>
      <c r="M362" s="111"/>
      <c r="N362" s="111"/>
    </row>
    <row r="363" spans="9:14">
      <c r="I363" s="87"/>
      <c r="J363" s="87"/>
      <c r="K363" s="87"/>
      <c r="L363" s="88"/>
      <c r="M363" s="111"/>
      <c r="N363" s="111"/>
    </row>
    <row r="364" spans="9:14">
      <c r="I364" s="87"/>
      <c r="J364" s="87"/>
      <c r="K364" s="87"/>
      <c r="L364" s="88"/>
      <c r="M364" s="111"/>
      <c r="N364" s="111"/>
    </row>
    <row r="365" spans="9:14">
      <c r="I365" s="87"/>
      <c r="J365" s="87"/>
      <c r="K365" s="87"/>
      <c r="L365" s="88"/>
      <c r="M365" s="111"/>
      <c r="N365" s="111"/>
    </row>
    <row r="366" spans="9:14">
      <c r="I366" s="87"/>
      <c r="J366" s="87"/>
      <c r="K366" s="87"/>
      <c r="L366" s="88"/>
      <c r="M366" s="111"/>
      <c r="N366" s="111"/>
    </row>
    <row r="367" spans="9:14">
      <c r="I367" s="87"/>
      <c r="J367" s="87"/>
      <c r="K367" s="87"/>
      <c r="L367" s="88"/>
      <c r="M367" s="111"/>
      <c r="N367" s="111"/>
    </row>
    <row r="368" spans="9:14">
      <c r="I368" s="87"/>
      <c r="J368" s="87"/>
      <c r="K368" s="87"/>
      <c r="L368" s="88"/>
      <c r="M368" s="111"/>
      <c r="N368" s="111"/>
    </row>
    <row r="369" spans="9:14">
      <c r="I369" s="87"/>
      <c r="J369" s="87"/>
      <c r="K369" s="87"/>
      <c r="L369" s="88"/>
      <c r="M369" s="111"/>
      <c r="N369" s="111"/>
    </row>
    <row r="370" spans="9:14">
      <c r="I370" s="87"/>
      <c r="J370" s="87"/>
      <c r="K370" s="87"/>
      <c r="L370" s="88"/>
      <c r="M370" s="111"/>
      <c r="N370" s="111"/>
    </row>
    <row r="371" spans="9:14">
      <c r="I371" s="87"/>
      <c r="J371" s="87"/>
      <c r="K371" s="87"/>
      <c r="L371" s="88"/>
      <c r="M371" s="111"/>
      <c r="N371" s="111"/>
    </row>
    <row r="372" spans="9:14">
      <c r="I372" s="87"/>
      <c r="J372" s="87"/>
      <c r="K372" s="87"/>
      <c r="L372" s="88"/>
      <c r="M372" s="111"/>
      <c r="N372" s="111"/>
    </row>
    <row r="373" spans="9:14">
      <c r="I373" s="87"/>
      <c r="J373" s="87"/>
      <c r="K373" s="87"/>
      <c r="L373" s="88"/>
      <c r="M373" s="111"/>
      <c r="N373" s="111"/>
    </row>
    <row r="374" spans="9:14">
      <c r="I374" s="87"/>
      <c r="J374" s="87"/>
      <c r="K374" s="87"/>
      <c r="L374" s="88"/>
      <c r="M374" s="111"/>
      <c r="N374" s="111"/>
    </row>
    <row r="375" spans="9:14">
      <c r="I375" s="87"/>
      <c r="J375" s="87"/>
      <c r="K375" s="87"/>
      <c r="L375" s="88"/>
      <c r="M375" s="111"/>
      <c r="N375" s="111"/>
    </row>
    <row r="376" spans="9:14">
      <c r="I376" s="87"/>
      <c r="J376" s="87"/>
      <c r="K376" s="87"/>
      <c r="L376" s="88"/>
      <c r="M376" s="111"/>
      <c r="N376" s="111"/>
    </row>
    <row r="377" spans="9:14">
      <c r="I377" s="87"/>
      <c r="J377" s="87"/>
      <c r="K377" s="87"/>
      <c r="L377" s="88"/>
      <c r="M377" s="111"/>
      <c r="N377" s="111"/>
    </row>
    <row r="378" spans="9:14">
      <c r="I378" s="87"/>
      <c r="J378" s="87"/>
      <c r="K378" s="87"/>
      <c r="L378" s="88"/>
      <c r="M378" s="111"/>
      <c r="N378" s="111"/>
    </row>
    <row r="379" spans="9:14">
      <c r="I379" s="87"/>
      <c r="J379" s="87"/>
      <c r="K379" s="87"/>
      <c r="L379" s="88"/>
      <c r="M379" s="111"/>
      <c r="N379" s="111"/>
    </row>
    <row r="380" spans="9:14">
      <c r="I380" s="87"/>
      <c r="J380" s="87"/>
      <c r="K380" s="87"/>
      <c r="L380" s="88"/>
      <c r="M380" s="111"/>
      <c r="N380" s="111"/>
    </row>
    <row r="381" spans="9:14">
      <c r="I381" s="87"/>
      <c r="J381" s="87"/>
      <c r="K381" s="87"/>
      <c r="L381" s="88"/>
      <c r="M381" s="111"/>
      <c r="N381" s="111"/>
    </row>
    <row r="382" spans="9:14">
      <c r="I382" s="87"/>
      <c r="J382" s="87"/>
      <c r="K382" s="87"/>
      <c r="L382" s="88"/>
      <c r="M382" s="111"/>
      <c r="N382" s="111"/>
    </row>
    <row r="383" spans="9:14">
      <c r="I383" s="87"/>
      <c r="J383" s="87"/>
      <c r="K383" s="87"/>
      <c r="L383" s="88"/>
      <c r="M383" s="111"/>
      <c r="N383" s="111"/>
    </row>
    <row r="384" spans="9:14">
      <c r="I384" s="87"/>
      <c r="J384" s="87"/>
      <c r="K384" s="87"/>
      <c r="L384" s="88"/>
      <c r="M384" s="111"/>
      <c r="N384" s="111"/>
    </row>
    <row r="385" spans="9:14">
      <c r="I385" s="87"/>
      <c r="J385" s="87"/>
      <c r="K385" s="87"/>
      <c r="L385" s="88"/>
      <c r="M385" s="111"/>
      <c r="N385" s="111"/>
    </row>
    <row r="386" spans="9:14">
      <c r="I386" s="87"/>
      <c r="J386" s="87"/>
      <c r="K386" s="87"/>
      <c r="L386" s="88"/>
      <c r="M386" s="111"/>
      <c r="N386" s="111"/>
    </row>
    <row r="387" spans="9:14">
      <c r="I387" s="87"/>
      <c r="J387" s="87"/>
      <c r="K387" s="87"/>
      <c r="L387" s="88"/>
      <c r="M387" s="111"/>
      <c r="N387" s="111"/>
    </row>
    <row r="388" spans="9:14">
      <c r="I388" s="87"/>
      <c r="J388" s="87"/>
      <c r="K388" s="87"/>
      <c r="L388" s="88"/>
      <c r="M388" s="111"/>
      <c r="N388" s="111"/>
    </row>
    <row r="389" spans="9:14">
      <c r="I389" s="87"/>
      <c r="J389" s="87"/>
      <c r="K389" s="87"/>
      <c r="L389" s="88"/>
      <c r="M389" s="111"/>
      <c r="N389" s="111"/>
    </row>
    <row r="390" spans="9:14">
      <c r="I390" s="87"/>
      <c r="J390" s="87"/>
      <c r="K390" s="87"/>
      <c r="L390" s="88"/>
      <c r="M390" s="111"/>
      <c r="N390" s="111"/>
    </row>
    <row r="391" spans="9:14">
      <c r="I391" s="87"/>
      <c r="J391" s="87"/>
      <c r="K391" s="87"/>
      <c r="L391" s="88"/>
      <c r="M391" s="111"/>
      <c r="N391" s="111"/>
    </row>
    <row r="392" spans="9:14">
      <c r="I392" s="87"/>
      <c r="J392" s="87"/>
      <c r="K392" s="87"/>
      <c r="L392" s="88"/>
      <c r="M392" s="111"/>
      <c r="N392" s="111"/>
    </row>
    <row r="393" spans="9:14">
      <c r="I393" s="87"/>
      <c r="J393" s="87"/>
      <c r="K393" s="87"/>
      <c r="L393" s="88"/>
      <c r="M393" s="111"/>
      <c r="N393" s="111"/>
    </row>
    <row r="394" spans="9:14">
      <c r="I394" s="87"/>
      <c r="J394" s="87"/>
      <c r="K394" s="87"/>
      <c r="L394" s="88"/>
      <c r="M394" s="111"/>
      <c r="N394" s="111"/>
    </row>
    <row r="395" spans="9:14">
      <c r="I395" s="87"/>
      <c r="J395" s="87"/>
      <c r="K395" s="87"/>
      <c r="L395" s="88"/>
      <c r="M395" s="111"/>
      <c r="N395" s="111"/>
    </row>
    <row r="396" spans="9:14">
      <c r="I396" s="87"/>
      <c r="J396" s="87"/>
      <c r="K396" s="87"/>
      <c r="L396" s="88"/>
      <c r="M396" s="111"/>
      <c r="N396" s="111"/>
    </row>
    <row r="397" spans="9:14">
      <c r="I397" s="87"/>
      <c r="J397" s="87"/>
      <c r="K397" s="87"/>
      <c r="L397" s="88"/>
      <c r="M397" s="111"/>
      <c r="N397" s="111"/>
    </row>
    <row r="398" spans="9:14">
      <c r="I398" s="87"/>
      <c r="J398" s="87"/>
      <c r="K398" s="87"/>
      <c r="L398" s="88"/>
      <c r="M398" s="111"/>
      <c r="N398" s="111"/>
    </row>
    <row r="399" spans="9:14">
      <c r="I399" s="87"/>
      <c r="J399" s="87"/>
      <c r="K399" s="87"/>
      <c r="L399" s="88"/>
      <c r="M399" s="111"/>
      <c r="N399" s="111"/>
    </row>
    <row r="400" spans="9:14">
      <c r="I400" s="87"/>
      <c r="J400" s="87"/>
      <c r="K400" s="87"/>
      <c r="L400" s="88"/>
      <c r="M400" s="111"/>
      <c r="N400" s="111"/>
    </row>
    <row r="401" spans="9:14">
      <c r="I401" s="87"/>
      <c r="J401" s="87"/>
      <c r="K401" s="87"/>
      <c r="L401" s="88"/>
      <c r="M401" s="111"/>
      <c r="N401" s="111"/>
    </row>
    <row r="402" spans="9:14">
      <c r="I402" s="87"/>
      <c r="J402" s="87"/>
      <c r="K402" s="87"/>
      <c r="L402" s="88"/>
      <c r="M402" s="111"/>
      <c r="N402" s="111"/>
    </row>
    <row r="403" spans="9:14">
      <c r="I403" s="87"/>
      <c r="J403" s="87"/>
      <c r="K403" s="87"/>
      <c r="L403" s="88"/>
      <c r="M403" s="111"/>
      <c r="N403" s="111"/>
    </row>
    <row r="404" spans="9:14">
      <c r="I404" s="87"/>
      <c r="J404" s="87"/>
      <c r="K404" s="87"/>
      <c r="L404" s="88"/>
      <c r="M404" s="111"/>
      <c r="N404" s="111"/>
    </row>
    <row r="405" spans="9:14">
      <c r="I405" s="87"/>
      <c r="J405" s="87"/>
      <c r="K405" s="87"/>
      <c r="L405" s="88"/>
      <c r="M405" s="111"/>
      <c r="N405" s="111"/>
    </row>
    <row r="406" spans="9:14">
      <c r="I406" s="87"/>
      <c r="J406" s="87"/>
      <c r="K406" s="87"/>
      <c r="L406" s="88"/>
      <c r="M406" s="111"/>
      <c r="N406" s="111"/>
    </row>
    <row r="407" spans="9:14">
      <c r="I407" s="87"/>
      <c r="J407" s="87"/>
      <c r="K407" s="87"/>
      <c r="L407" s="88"/>
      <c r="M407" s="111"/>
      <c r="N407" s="111"/>
    </row>
    <row r="408" spans="9:14">
      <c r="I408" s="87"/>
      <c r="J408" s="87"/>
      <c r="K408" s="87"/>
      <c r="L408" s="88"/>
      <c r="M408" s="111"/>
      <c r="N408" s="111"/>
    </row>
    <row r="409" spans="9:14">
      <c r="I409" s="87"/>
      <c r="J409" s="87"/>
      <c r="K409" s="87"/>
      <c r="L409" s="88"/>
      <c r="M409" s="111"/>
      <c r="N409" s="111"/>
    </row>
    <row r="410" spans="9:14">
      <c r="I410" s="87"/>
      <c r="J410" s="87"/>
      <c r="K410" s="87"/>
      <c r="L410" s="88"/>
      <c r="M410" s="111"/>
      <c r="N410" s="111"/>
    </row>
    <row r="411" spans="9:14">
      <c r="I411" s="87"/>
      <c r="J411" s="87"/>
      <c r="K411" s="87"/>
      <c r="L411" s="88"/>
      <c r="M411" s="111"/>
      <c r="N411" s="111"/>
    </row>
    <row r="412" spans="9:14">
      <c r="I412" s="87"/>
      <c r="J412" s="87"/>
      <c r="K412" s="87"/>
      <c r="L412" s="88"/>
      <c r="M412" s="111"/>
      <c r="N412" s="111"/>
    </row>
    <row r="413" spans="9:14">
      <c r="I413" s="87"/>
      <c r="J413" s="87"/>
      <c r="K413" s="87"/>
      <c r="L413" s="88"/>
      <c r="M413" s="111"/>
      <c r="N413" s="111"/>
    </row>
    <row r="414" spans="9:14">
      <c r="I414" s="87"/>
      <c r="J414" s="87"/>
      <c r="K414" s="87"/>
      <c r="L414" s="88"/>
      <c r="M414" s="111"/>
      <c r="N414" s="111"/>
    </row>
    <row r="415" spans="9:14">
      <c r="I415" s="87"/>
      <c r="J415" s="87"/>
      <c r="K415" s="87"/>
      <c r="L415" s="88"/>
      <c r="M415" s="111"/>
      <c r="N415" s="111"/>
    </row>
    <row r="416" spans="9:14">
      <c r="I416" s="87"/>
      <c r="J416" s="87"/>
      <c r="K416" s="87"/>
      <c r="L416" s="88"/>
      <c r="M416" s="111"/>
      <c r="N416" s="111"/>
    </row>
    <row r="417" spans="9:14">
      <c r="I417" s="87"/>
      <c r="J417" s="87"/>
      <c r="K417" s="87"/>
      <c r="L417" s="88"/>
      <c r="M417" s="111"/>
      <c r="N417" s="111"/>
    </row>
    <row r="418" spans="9:14">
      <c r="I418" s="87"/>
      <c r="J418" s="87"/>
      <c r="K418" s="87"/>
      <c r="L418" s="88"/>
      <c r="M418" s="111"/>
      <c r="N418" s="111"/>
    </row>
    <row r="419" spans="9:14">
      <c r="I419" s="87"/>
      <c r="J419" s="87"/>
      <c r="K419" s="87"/>
      <c r="L419" s="88"/>
      <c r="M419" s="111"/>
      <c r="N419" s="111"/>
    </row>
    <row r="420" spans="9:14">
      <c r="I420" s="87"/>
      <c r="J420" s="87"/>
      <c r="K420" s="87"/>
      <c r="L420" s="88"/>
      <c r="M420" s="111"/>
      <c r="N420" s="111"/>
    </row>
    <row r="421" spans="9:14">
      <c r="I421" s="87"/>
      <c r="J421" s="87"/>
      <c r="K421" s="87"/>
      <c r="L421" s="88"/>
      <c r="M421" s="111"/>
      <c r="N421" s="111"/>
    </row>
    <row r="422" spans="9:14">
      <c r="I422" s="87"/>
      <c r="J422" s="87"/>
      <c r="K422" s="87"/>
      <c r="L422" s="88"/>
      <c r="M422" s="111"/>
      <c r="N422" s="111"/>
    </row>
    <row r="423" spans="9:14">
      <c r="I423" s="87"/>
      <c r="J423" s="87"/>
      <c r="K423" s="87"/>
      <c r="L423" s="88"/>
      <c r="M423" s="111"/>
      <c r="N423" s="111"/>
    </row>
    <row r="424" spans="9:14">
      <c r="I424" s="87"/>
      <c r="J424" s="87"/>
      <c r="K424" s="87"/>
      <c r="L424" s="88"/>
      <c r="M424" s="111"/>
      <c r="N424" s="111"/>
    </row>
    <row r="425" spans="9:14">
      <c r="I425" s="87"/>
      <c r="J425" s="87"/>
      <c r="K425" s="87"/>
      <c r="L425" s="88"/>
      <c r="M425" s="111"/>
      <c r="N425" s="111"/>
    </row>
    <row r="426" spans="9:14">
      <c r="I426" s="87"/>
      <c r="J426" s="87"/>
      <c r="K426" s="87"/>
      <c r="L426" s="88"/>
      <c r="M426" s="111"/>
      <c r="N426" s="111"/>
    </row>
    <row r="427" spans="9:14">
      <c r="I427" s="87"/>
      <c r="J427" s="87"/>
      <c r="K427" s="87"/>
      <c r="L427" s="88"/>
      <c r="M427" s="111"/>
      <c r="N427" s="111"/>
    </row>
    <row r="428" spans="9:14">
      <c r="I428" s="87"/>
      <c r="J428" s="87"/>
      <c r="K428" s="87"/>
      <c r="L428" s="88"/>
      <c r="M428" s="111"/>
      <c r="N428" s="111"/>
    </row>
    <row r="429" spans="9:14">
      <c r="I429" s="87"/>
      <c r="J429" s="87"/>
      <c r="K429" s="87"/>
      <c r="L429" s="88"/>
      <c r="M429" s="111"/>
      <c r="N429" s="111"/>
    </row>
    <row r="430" spans="9:14">
      <c r="I430" s="87"/>
      <c r="J430" s="87"/>
      <c r="K430" s="87"/>
      <c r="L430" s="88"/>
      <c r="M430" s="111"/>
      <c r="N430" s="111"/>
    </row>
    <row r="431" spans="9:14">
      <c r="I431" s="87"/>
      <c r="J431" s="87"/>
      <c r="K431" s="87"/>
      <c r="L431" s="88"/>
      <c r="M431" s="111"/>
      <c r="N431" s="111"/>
    </row>
    <row r="432" spans="9:14">
      <c r="I432" s="87"/>
      <c r="J432" s="87"/>
      <c r="K432" s="87"/>
      <c r="L432" s="88"/>
      <c r="M432" s="111"/>
      <c r="N432" s="111"/>
    </row>
    <row r="433" spans="9:14">
      <c r="I433" s="87"/>
      <c r="J433" s="87"/>
      <c r="K433" s="87"/>
      <c r="L433" s="88"/>
      <c r="M433" s="111"/>
      <c r="N433" s="111"/>
    </row>
    <row r="434" spans="9:14">
      <c r="I434" s="87"/>
      <c r="J434" s="87"/>
      <c r="K434" s="87"/>
      <c r="L434" s="88"/>
      <c r="M434" s="111"/>
      <c r="N434" s="111"/>
    </row>
    <row r="435" spans="9:14">
      <c r="I435" s="87"/>
      <c r="J435" s="87"/>
      <c r="K435" s="87"/>
      <c r="L435" s="88"/>
      <c r="M435" s="111"/>
      <c r="N435" s="111"/>
    </row>
    <row r="436" spans="9:14">
      <c r="I436" s="87"/>
      <c r="J436" s="87"/>
      <c r="K436" s="87"/>
      <c r="L436" s="88"/>
      <c r="M436" s="111"/>
      <c r="N436" s="111"/>
    </row>
    <row r="437" spans="9:14">
      <c r="I437" s="87"/>
      <c r="J437" s="87"/>
      <c r="K437" s="87"/>
      <c r="L437" s="88"/>
      <c r="M437" s="111"/>
      <c r="N437" s="111"/>
    </row>
    <row r="438" spans="9:14">
      <c r="I438" s="87"/>
      <c r="J438" s="87"/>
      <c r="K438" s="87"/>
      <c r="L438" s="88"/>
      <c r="M438" s="111"/>
      <c r="N438" s="111"/>
    </row>
    <row r="439" spans="9:14">
      <c r="I439" s="87"/>
      <c r="J439" s="87"/>
      <c r="K439" s="87"/>
      <c r="L439" s="88"/>
      <c r="M439" s="111"/>
      <c r="N439" s="111"/>
    </row>
    <row r="440" spans="9:14">
      <c r="I440" s="87"/>
      <c r="J440" s="87"/>
      <c r="K440" s="87"/>
      <c r="L440" s="88"/>
      <c r="M440" s="111"/>
      <c r="N440" s="111"/>
    </row>
    <row r="441" spans="9:14">
      <c r="I441" s="87"/>
      <c r="J441" s="87"/>
      <c r="K441" s="87"/>
      <c r="L441" s="88"/>
      <c r="M441" s="111"/>
      <c r="N441" s="111"/>
    </row>
    <row r="442" spans="9:14">
      <c r="I442" s="87"/>
      <c r="J442" s="87"/>
      <c r="K442" s="87"/>
      <c r="L442" s="88"/>
      <c r="M442" s="111"/>
      <c r="N442" s="111"/>
    </row>
    <row r="443" spans="9:14">
      <c r="I443" s="87"/>
      <c r="J443" s="87"/>
      <c r="K443" s="87"/>
      <c r="L443" s="88"/>
      <c r="M443" s="111"/>
      <c r="N443" s="111"/>
    </row>
    <row r="444" spans="9:14">
      <c r="I444" s="87"/>
      <c r="J444" s="87"/>
      <c r="K444" s="87"/>
      <c r="L444" s="88"/>
      <c r="M444" s="111"/>
      <c r="N444" s="111"/>
    </row>
    <row r="445" spans="9:14">
      <c r="I445" s="87"/>
      <c r="J445" s="87"/>
      <c r="K445" s="87"/>
      <c r="L445" s="88"/>
      <c r="M445" s="111"/>
      <c r="N445" s="111"/>
    </row>
    <row r="446" spans="9:14">
      <c r="I446" s="87"/>
      <c r="J446" s="87"/>
      <c r="K446" s="87"/>
      <c r="L446" s="88"/>
      <c r="M446" s="111"/>
      <c r="N446" s="111"/>
    </row>
    <row r="447" spans="9:14">
      <c r="I447" s="87"/>
      <c r="J447" s="87"/>
      <c r="K447" s="87"/>
      <c r="L447" s="88"/>
      <c r="M447" s="111"/>
      <c r="N447" s="111"/>
    </row>
    <row r="448" spans="9:14">
      <c r="I448" s="87"/>
      <c r="J448" s="87"/>
      <c r="K448" s="87"/>
      <c r="L448" s="88"/>
      <c r="M448" s="111"/>
      <c r="N448" s="111"/>
    </row>
    <row r="449" spans="9:14">
      <c r="I449" s="87"/>
      <c r="J449" s="87"/>
      <c r="K449" s="87"/>
      <c r="L449" s="88"/>
      <c r="M449" s="111"/>
      <c r="N449" s="111"/>
    </row>
    <row r="450" spans="9:14">
      <c r="I450" s="87"/>
      <c r="J450" s="87"/>
      <c r="K450" s="87"/>
      <c r="L450" s="88"/>
      <c r="M450" s="111"/>
      <c r="N450" s="111"/>
    </row>
    <row r="451" spans="9:14">
      <c r="I451" s="87"/>
      <c r="J451" s="87"/>
      <c r="K451" s="87"/>
      <c r="L451" s="88"/>
      <c r="M451" s="111"/>
      <c r="N451" s="111"/>
    </row>
    <row r="452" spans="9:14">
      <c r="I452" s="87"/>
      <c r="J452" s="87"/>
      <c r="K452" s="87"/>
      <c r="L452" s="88"/>
      <c r="M452" s="111"/>
      <c r="N452" s="111"/>
    </row>
    <row r="453" spans="9:14">
      <c r="I453" s="87"/>
      <c r="J453" s="87"/>
      <c r="K453" s="87"/>
      <c r="L453" s="88"/>
      <c r="M453" s="111"/>
      <c r="N453" s="111"/>
    </row>
    <row r="454" spans="9:14">
      <c r="I454" s="87"/>
      <c r="J454" s="87"/>
      <c r="K454" s="87"/>
      <c r="L454" s="88"/>
      <c r="M454" s="111"/>
      <c r="N454" s="111"/>
    </row>
    <row r="455" spans="9:14">
      <c r="I455" s="87"/>
      <c r="J455" s="87"/>
      <c r="K455" s="87"/>
      <c r="L455" s="88"/>
      <c r="M455" s="111"/>
      <c r="N455" s="111"/>
    </row>
    <row r="456" spans="9:14">
      <c r="I456" s="87"/>
      <c r="J456" s="87"/>
      <c r="K456" s="87"/>
      <c r="L456" s="88"/>
      <c r="M456" s="111"/>
      <c r="N456" s="111"/>
    </row>
    <row r="457" spans="9:14">
      <c r="I457" s="87"/>
      <c r="J457" s="87"/>
      <c r="K457" s="87"/>
      <c r="L457" s="88"/>
      <c r="M457" s="111"/>
      <c r="N457" s="111"/>
    </row>
    <row r="458" spans="9:14">
      <c r="I458" s="87"/>
      <c r="J458" s="87"/>
      <c r="K458" s="87"/>
      <c r="L458" s="88"/>
      <c r="M458" s="111"/>
      <c r="N458" s="111"/>
    </row>
    <row r="459" spans="9:14">
      <c r="I459" s="87"/>
      <c r="J459" s="87"/>
      <c r="K459" s="87"/>
      <c r="L459" s="88"/>
      <c r="M459" s="111"/>
      <c r="N459" s="111"/>
    </row>
    <row r="460" spans="9:14">
      <c r="I460" s="87"/>
      <c r="J460" s="87"/>
      <c r="K460" s="87"/>
      <c r="L460" s="88"/>
      <c r="M460" s="111"/>
      <c r="N460" s="111"/>
    </row>
    <row r="461" spans="9:14">
      <c r="I461" s="87"/>
      <c r="J461" s="87"/>
      <c r="K461" s="87"/>
      <c r="L461" s="88"/>
      <c r="M461" s="111"/>
      <c r="N461" s="111"/>
    </row>
    <row r="462" spans="9:14">
      <c r="I462" s="87"/>
      <c r="J462" s="87"/>
      <c r="K462" s="87"/>
      <c r="L462" s="88"/>
      <c r="M462" s="111"/>
      <c r="N462" s="111"/>
    </row>
    <row r="463" spans="9:14">
      <c r="I463" s="87"/>
      <c r="J463" s="87"/>
      <c r="K463" s="87"/>
      <c r="L463" s="88"/>
      <c r="M463" s="111"/>
      <c r="N463" s="111"/>
    </row>
    <row r="464" spans="9:14">
      <c r="I464" s="87"/>
      <c r="J464" s="87"/>
      <c r="K464" s="87"/>
      <c r="L464" s="88"/>
      <c r="M464" s="111"/>
      <c r="N464" s="111"/>
    </row>
    <row r="465" spans="9:14">
      <c r="I465" s="87"/>
      <c r="J465" s="87"/>
      <c r="K465" s="87"/>
      <c r="L465" s="88"/>
      <c r="M465" s="111"/>
      <c r="N465" s="111"/>
    </row>
    <row r="466" spans="9:14">
      <c r="I466" s="87"/>
      <c r="J466" s="87"/>
      <c r="K466" s="87"/>
      <c r="L466" s="88"/>
      <c r="M466" s="111"/>
      <c r="N466" s="111"/>
    </row>
    <row r="467" spans="9:14">
      <c r="I467" s="87"/>
      <c r="J467" s="87"/>
      <c r="K467" s="87"/>
      <c r="L467" s="88"/>
      <c r="M467" s="111"/>
      <c r="N467" s="111"/>
    </row>
    <row r="468" spans="9:14">
      <c r="I468" s="87"/>
      <c r="J468" s="87"/>
      <c r="K468" s="87"/>
      <c r="L468" s="88"/>
      <c r="M468" s="111"/>
      <c r="N468" s="111"/>
    </row>
    <row r="469" spans="9:14">
      <c r="I469" s="87"/>
      <c r="J469" s="87"/>
      <c r="K469" s="87"/>
      <c r="L469" s="88"/>
      <c r="M469" s="111"/>
      <c r="N469" s="111"/>
    </row>
    <row r="470" spans="9:14">
      <c r="I470" s="87"/>
      <c r="J470" s="87"/>
      <c r="K470" s="87"/>
      <c r="L470" s="88"/>
      <c r="M470" s="111"/>
      <c r="N470" s="111"/>
    </row>
    <row r="471" spans="9:14">
      <c r="I471" s="87"/>
      <c r="J471" s="87"/>
      <c r="K471" s="87"/>
      <c r="L471" s="88"/>
      <c r="M471" s="111"/>
      <c r="N471" s="111"/>
    </row>
    <row r="472" spans="9:14">
      <c r="I472" s="87"/>
      <c r="J472" s="87"/>
      <c r="K472" s="87"/>
      <c r="L472" s="88"/>
      <c r="M472" s="111"/>
      <c r="N472" s="111"/>
    </row>
    <row r="473" spans="9:14">
      <c r="I473" s="87"/>
      <c r="J473" s="87"/>
      <c r="K473" s="87"/>
      <c r="L473" s="88"/>
      <c r="M473" s="111"/>
      <c r="N473" s="111"/>
    </row>
    <row r="474" spans="9:14">
      <c r="I474" s="87"/>
      <c r="J474" s="87"/>
      <c r="K474" s="87"/>
      <c r="L474" s="88"/>
      <c r="M474" s="111"/>
      <c r="N474" s="111"/>
    </row>
    <row r="475" spans="9:14">
      <c r="I475" s="87"/>
      <c r="J475" s="87"/>
      <c r="K475" s="87"/>
      <c r="L475" s="88"/>
      <c r="M475" s="111"/>
      <c r="N475" s="111"/>
    </row>
    <row r="476" spans="9:14">
      <c r="I476" s="87"/>
      <c r="J476" s="87"/>
      <c r="K476" s="87"/>
      <c r="L476" s="88"/>
      <c r="M476" s="111"/>
      <c r="N476" s="111"/>
    </row>
    <row r="477" spans="9:14">
      <c r="I477" s="87"/>
      <c r="J477" s="87"/>
      <c r="K477" s="87"/>
      <c r="L477" s="88"/>
      <c r="M477" s="111"/>
      <c r="N477" s="111"/>
    </row>
    <row r="478" spans="9:14">
      <c r="I478" s="87"/>
      <c r="J478" s="87"/>
      <c r="K478" s="87"/>
      <c r="L478" s="88"/>
      <c r="M478" s="111"/>
      <c r="N478" s="111"/>
    </row>
    <row r="479" spans="9:14">
      <c r="I479" s="87"/>
      <c r="J479" s="87"/>
      <c r="K479" s="87"/>
      <c r="L479" s="88"/>
      <c r="M479" s="111"/>
      <c r="N479" s="111"/>
    </row>
    <row r="480" spans="9:14">
      <c r="I480" s="87"/>
      <c r="J480" s="87"/>
      <c r="K480" s="87"/>
      <c r="L480" s="88"/>
      <c r="M480" s="111"/>
      <c r="N480" s="111"/>
    </row>
    <row r="481" spans="9:14">
      <c r="I481" s="87"/>
      <c r="J481" s="87"/>
      <c r="K481" s="87"/>
      <c r="L481" s="88"/>
      <c r="M481" s="111"/>
      <c r="N481" s="111"/>
    </row>
    <row r="482" spans="9:14">
      <c r="I482" s="87"/>
      <c r="J482" s="87"/>
      <c r="K482" s="87"/>
      <c r="L482" s="88"/>
      <c r="M482" s="111"/>
      <c r="N482" s="111"/>
    </row>
    <row r="483" spans="9:14">
      <c r="I483" s="87"/>
      <c r="J483" s="87"/>
      <c r="K483" s="87"/>
      <c r="L483" s="88"/>
      <c r="M483" s="111"/>
      <c r="N483" s="111"/>
    </row>
    <row r="484" spans="9:14">
      <c r="I484" s="87"/>
      <c r="J484" s="87"/>
      <c r="K484" s="87"/>
      <c r="L484" s="88"/>
      <c r="M484" s="111"/>
      <c r="N484" s="111"/>
    </row>
    <row r="485" spans="9:14">
      <c r="I485" s="87"/>
      <c r="J485" s="87"/>
      <c r="K485" s="87"/>
      <c r="L485" s="88"/>
      <c r="M485" s="111"/>
      <c r="N485" s="111"/>
    </row>
    <row r="486" spans="9:14">
      <c r="I486" s="87"/>
      <c r="J486" s="87"/>
      <c r="K486" s="87"/>
      <c r="L486" s="88"/>
      <c r="M486" s="111"/>
      <c r="N486" s="111"/>
    </row>
    <row r="487" spans="9:14">
      <c r="I487" s="87"/>
      <c r="J487" s="87"/>
      <c r="K487" s="87"/>
      <c r="L487" s="88"/>
      <c r="M487" s="111"/>
      <c r="N487" s="111"/>
    </row>
    <row r="488" spans="9:14">
      <c r="I488" s="87"/>
      <c r="J488" s="87"/>
      <c r="K488" s="87"/>
      <c r="L488" s="88"/>
      <c r="M488" s="111"/>
      <c r="N488" s="111"/>
    </row>
    <row r="489" spans="9:14">
      <c r="I489" s="87"/>
      <c r="J489" s="87"/>
      <c r="K489" s="87"/>
      <c r="L489" s="88"/>
      <c r="M489" s="111"/>
      <c r="N489" s="111"/>
    </row>
    <row r="490" spans="9:14">
      <c r="I490" s="87"/>
      <c r="J490" s="87"/>
      <c r="K490" s="87"/>
      <c r="L490" s="88"/>
      <c r="M490" s="111"/>
      <c r="N490" s="111"/>
    </row>
    <row r="491" spans="9:14">
      <c r="I491" s="87"/>
      <c r="J491" s="87"/>
      <c r="K491" s="87"/>
      <c r="L491" s="88"/>
      <c r="M491" s="111"/>
      <c r="N491" s="111"/>
    </row>
    <row r="492" spans="9:14">
      <c r="I492" s="87"/>
      <c r="J492" s="87"/>
      <c r="K492" s="87"/>
      <c r="L492" s="88"/>
      <c r="M492" s="111"/>
      <c r="N492" s="111"/>
    </row>
    <row r="493" spans="9:14">
      <c r="I493" s="87"/>
      <c r="J493" s="87"/>
      <c r="K493" s="87"/>
      <c r="L493" s="88"/>
      <c r="M493" s="111"/>
      <c r="N493" s="111"/>
    </row>
    <row r="494" spans="9:14">
      <c r="I494" s="87"/>
      <c r="J494" s="87"/>
      <c r="K494" s="87"/>
      <c r="L494" s="88"/>
      <c r="M494" s="111"/>
      <c r="N494" s="111"/>
    </row>
    <row r="495" spans="9:14">
      <c r="I495" s="87"/>
      <c r="J495" s="87"/>
      <c r="K495" s="87"/>
      <c r="L495" s="88"/>
      <c r="M495" s="111"/>
      <c r="N495" s="111"/>
    </row>
    <row r="496" spans="9:14">
      <c r="I496" s="87"/>
      <c r="J496" s="87"/>
      <c r="K496" s="87"/>
      <c r="L496" s="88"/>
      <c r="M496" s="111"/>
      <c r="N496" s="111"/>
    </row>
    <row r="497" spans="9:14">
      <c r="I497" s="87"/>
      <c r="J497" s="87"/>
      <c r="K497" s="87"/>
      <c r="L497" s="88"/>
      <c r="M497" s="111"/>
      <c r="N497" s="111"/>
    </row>
    <row r="498" spans="9:14">
      <c r="I498" s="87"/>
      <c r="J498" s="87"/>
      <c r="K498" s="87"/>
      <c r="L498" s="88"/>
      <c r="M498" s="111"/>
      <c r="N498" s="111"/>
    </row>
    <row r="499" spans="9:14">
      <c r="I499" s="87"/>
      <c r="J499" s="87"/>
      <c r="K499" s="87"/>
      <c r="L499" s="88"/>
      <c r="M499" s="111"/>
      <c r="N499" s="111"/>
    </row>
    <row r="500" spans="9:14">
      <c r="I500" s="87"/>
      <c r="J500" s="87"/>
      <c r="K500" s="87"/>
      <c r="L500" s="88"/>
      <c r="M500" s="111"/>
      <c r="N500" s="111"/>
    </row>
    <row r="501" spans="9:14">
      <c r="I501" s="87"/>
      <c r="J501" s="87"/>
      <c r="K501" s="87"/>
      <c r="L501" s="88"/>
      <c r="M501" s="111"/>
      <c r="N501" s="111"/>
    </row>
    <row r="502" spans="9:14">
      <c r="I502" s="87"/>
      <c r="J502" s="87"/>
      <c r="K502" s="87"/>
      <c r="L502" s="88"/>
      <c r="M502" s="111"/>
      <c r="N502" s="111"/>
    </row>
    <row r="503" spans="9:14">
      <c r="I503" s="87"/>
      <c r="J503" s="87"/>
      <c r="K503" s="87"/>
      <c r="L503" s="88"/>
      <c r="M503" s="111"/>
      <c r="N503" s="111"/>
    </row>
    <row r="504" spans="9:14">
      <c r="I504" s="87"/>
      <c r="J504" s="87"/>
      <c r="K504" s="87"/>
      <c r="L504" s="88"/>
      <c r="M504" s="111"/>
      <c r="N504" s="111"/>
    </row>
    <row r="505" spans="9:14">
      <c r="I505" s="87"/>
      <c r="J505" s="87"/>
      <c r="K505" s="87"/>
      <c r="L505" s="88"/>
      <c r="M505" s="111"/>
      <c r="N505" s="111"/>
    </row>
    <row r="506" spans="9:14">
      <c r="I506" s="87"/>
      <c r="J506" s="87"/>
      <c r="K506" s="87"/>
      <c r="L506" s="88"/>
      <c r="M506" s="111"/>
      <c r="N506" s="111"/>
    </row>
    <row r="507" spans="9:14">
      <c r="I507" s="87"/>
      <c r="J507" s="87"/>
      <c r="K507" s="87"/>
      <c r="L507" s="88"/>
      <c r="M507" s="111"/>
      <c r="N507" s="111"/>
    </row>
    <row r="508" spans="9:14">
      <c r="I508" s="87"/>
      <c r="J508" s="87"/>
      <c r="K508" s="87"/>
      <c r="L508" s="88"/>
      <c r="M508" s="111"/>
      <c r="N508" s="111"/>
    </row>
    <row r="509" spans="9:14">
      <c r="I509" s="87"/>
      <c r="J509" s="87"/>
      <c r="K509" s="87"/>
      <c r="L509" s="88"/>
      <c r="M509" s="111"/>
      <c r="N509" s="111"/>
    </row>
    <row r="510" spans="9:14">
      <c r="I510" s="87"/>
      <c r="J510" s="87"/>
      <c r="K510" s="87"/>
      <c r="L510" s="88"/>
      <c r="M510" s="111"/>
      <c r="N510" s="111"/>
    </row>
    <row r="511" spans="9:14">
      <c r="I511" s="87"/>
      <c r="J511" s="87"/>
      <c r="K511" s="87"/>
      <c r="L511" s="88"/>
      <c r="M511" s="111"/>
      <c r="N511" s="111"/>
    </row>
    <row r="512" spans="9:14">
      <c r="I512" s="87"/>
      <c r="J512" s="87"/>
      <c r="K512" s="87"/>
      <c r="L512" s="88"/>
      <c r="M512" s="111"/>
      <c r="N512" s="111"/>
    </row>
    <row r="513" spans="9:14">
      <c r="I513" s="87"/>
      <c r="J513" s="87"/>
      <c r="K513" s="87"/>
      <c r="L513" s="88"/>
      <c r="M513" s="111"/>
      <c r="N513" s="111"/>
    </row>
    <row r="514" spans="9:14">
      <c r="I514" s="87"/>
      <c r="J514" s="87"/>
      <c r="K514" s="87"/>
      <c r="L514" s="88"/>
      <c r="M514" s="111"/>
      <c r="N514" s="111"/>
    </row>
    <row r="515" spans="9:14">
      <c r="I515" s="87"/>
      <c r="J515" s="87"/>
      <c r="K515" s="87"/>
      <c r="L515" s="88"/>
      <c r="M515" s="111"/>
      <c r="N515" s="111"/>
    </row>
    <row r="516" spans="9:14">
      <c r="I516" s="87"/>
      <c r="J516" s="87"/>
      <c r="K516" s="87"/>
      <c r="L516" s="88"/>
      <c r="M516" s="111"/>
      <c r="N516" s="111"/>
    </row>
    <row r="517" spans="9:14">
      <c r="I517" s="87"/>
      <c r="J517" s="87"/>
      <c r="K517" s="87"/>
      <c r="L517" s="88"/>
      <c r="M517" s="111"/>
      <c r="N517" s="111"/>
    </row>
    <row r="518" spans="9:14">
      <c r="I518" s="87"/>
      <c r="J518" s="87"/>
      <c r="K518" s="87"/>
      <c r="L518" s="88"/>
      <c r="M518" s="111"/>
      <c r="N518" s="111"/>
    </row>
    <row r="519" spans="9:14">
      <c r="I519" s="87"/>
      <c r="J519" s="87"/>
      <c r="K519" s="87"/>
      <c r="L519" s="88"/>
      <c r="M519" s="111"/>
      <c r="N519" s="111"/>
    </row>
    <row r="520" spans="9:14">
      <c r="I520" s="87"/>
      <c r="J520" s="87"/>
      <c r="K520" s="87"/>
      <c r="L520" s="88"/>
      <c r="M520" s="111"/>
      <c r="N520" s="111"/>
    </row>
    <row r="521" spans="9:14">
      <c r="I521" s="87"/>
      <c r="J521" s="87"/>
      <c r="K521" s="87"/>
      <c r="L521" s="88"/>
      <c r="M521" s="111"/>
      <c r="N521" s="111"/>
    </row>
    <row r="522" spans="9:14">
      <c r="I522" s="87"/>
      <c r="J522" s="87"/>
      <c r="K522" s="87"/>
      <c r="L522" s="88"/>
      <c r="M522" s="111"/>
      <c r="N522" s="111"/>
    </row>
    <row r="523" spans="9:14">
      <c r="I523" s="87"/>
      <c r="J523" s="87"/>
      <c r="K523" s="87"/>
      <c r="L523" s="88"/>
      <c r="M523" s="111"/>
      <c r="N523" s="111"/>
    </row>
    <row r="524" spans="9:14">
      <c r="I524" s="87"/>
      <c r="J524" s="87"/>
      <c r="K524" s="87"/>
      <c r="L524" s="88"/>
      <c r="M524" s="111"/>
      <c r="N524" s="111"/>
    </row>
    <row r="525" spans="9:14">
      <c r="I525" s="87"/>
      <c r="J525" s="87"/>
      <c r="K525" s="87"/>
      <c r="L525" s="88"/>
      <c r="M525" s="111"/>
      <c r="N525" s="111"/>
    </row>
    <row r="526" spans="9:14">
      <c r="I526" s="87"/>
      <c r="J526" s="87"/>
      <c r="K526" s="87"/>
      <c r="L526" s="88"/>
      <c r="M526" s="111"/>
      <c r="N526" s="111"/>
    </row>
    <row r="527" spans="9:14">
      <c r="I527" s="87"/>
      <c r="J527" s="87"/>
      <c r="K527" s="87"/>
      <c r="L527" s="88"/>
      <c r="M527" s="111"/>
      <c r="N527" s="111"/>
    </row>
    <row r="528" spans="9:14">
      <c r="I528" s="87"/>
      <c r="J528" s="87"/>
      <c r="K528" s="87"/>
      <c r="L528" s="88"/>
      <c r="M528" s="111"/>
      <c r="N528" s="111"/>
    </row>
    <row r="529" spans="9:14">
      <c r="I529" s="87"/>
      <c r="J529" s="87"/>
      <c r="K529" s="87"/>
      <c r="L529" s="88"/>
      <c r="M529" s="111"/>
      <c r="N529" s="111"/>
    </row>
    <row r="530" spans="9:14">
      <c r="I530" s="87"/>
      <c r="J530" s="87"/>
      <c r="K530" s="87"/>
      <c r="L530" s="88"/>
      <c r="M530" s="111"/>
      <c r="N530" s="111"/>
    </row>
    <row r="531" spans="9:14">
      <c r="I531" s="87"/>
      <c r="J531" s="87"/>
      <c r="K531" s="87"/>
      <c r="L531" s="88"/>
      <c r="M531" s="111"/>
      <c r="N531" s="111"/>
    </row>
    <row r="532" spans="9:14">
      <c r="I532" s="87"/>
      <c r="J532" s="87"/>
      <c r="K532" s="87"/>
      <c r="L532" s="88"/>
      <c r="M532" s="111"/>
      <c r="N532" s="111"/>
    </row>
    <row r="533" spans="9:14">
      <c r="I533" s="87"/>
      <c r="J533" s="87"/>
      <c r="K533" s="87"/>
      <c r="L533" s="88"/>
      <c r="M533" s="111"/>
      <c r="N533" s="111"/>
    </row>
    <row r="534" spans="9:14">
      <c r="I534" s="87"/>
      <c r="J534" s="87"/>
      <c r="K534" s="87"/>
      <c r="L534" s="88"/>
      <c r="M534" s="111"/>
      <c r="N534" s="111"/>
    </row>
    <row r="535" spans="9:14">
      <c r="I535" s="87"/>
      <c r="J535" s="87"/>
      <c r="K535" s="87"/>
      <c r="L535" s="88"/>
      <c r="M535" s="111"/>
      <c r="N535" s="111"/>
    </row>
    <row r="536" spans="9:14">
      <c r="I536" s="87"/>
      <c r="J536" s="87"/>
      <c r="K536" s="87"/>
      <c r="L536" s="88"/>
      <c r="M536" s="111"/>
      <c r="N536" s="111"/>
    </row>
    <row r="537" spans="9:14">
      <c r="I537" s="87"/>
      <c r="J537" s="87"/>
      <c r="K537" s="87"/>
      <c r="L537" s="88"/>
      <c r="M537" s="111"/>
      <c r="N537" s="111"/>
    </row>
    <row r="538" spans="9:14">
      <c r="I538" s="87"/>
      <c r="J538" s="87"/>
      <c r="K538" s="87"/>
      <c r="L538" s="88"/>
      <c r="M538" s="111"/>
      <c r="N538" s="111"/>
    </row>
    <row r="539" spans="9:14">
      <c r="I539" s="87"/>
      <c r="J539" s="87"/>
      <c r="K539" s="87"/>
      <c r="L539" s="88"/>
      <c r="M539" s="111"/>
      <c r="N539" s="111"/>
    </row>
    <row r="540" spans="9:14">
      <c r="I540" s="87"/>
      <c r="J540" s="87"/>
      <c r="K540" s="87"/>
      <c r="L540" s="88"/>
      <c r="M540" s="111"/>
      <c r="N540" s="111"/>
    </row>
    <row r="541" spans="9:14">
      <c r="I541" s="87"/>
      <c r="J541" s="87"/>
      <c r="K541" s="87"/>
      <c r="L541" s="88"/>
      <c r="M541" s="111"/>
      <c r="N541" s="111"/>
    </row>
    <row r="542" spans="9:14">
      <c r="I542" s="87"/>
      <c r="J542" s="87"/>
      <c r="K542" s="87"/>
      <c r="L542" s="88"/>
      <c r="M542" s="111"/>
      <c r="N542" s="111"/>
    </row>
    <row r="543" spans="9:14">
      <c r="I543" s="87"/>
      <c r="J543" s="87"/>
      <c r="K543" s="87"/>
      <c r="L543" s="88"/>
      <c r="M543" s="111"/>
      <c r="N543" s="111"/>
    </row>
    <row r="544" spans="9:14">
      <c r="I544" s="87"/>
      <c r="J544" s="87"/>
      <c r="K544" s="87"/>
      <c r="L544" s="88"/>
      <c r="M544" s="111"/>
      <c r="N544" s="111"/>
    </row>
    <row r="545" spans="9:14">
      <c r="I545" s="87"/>
      <c r="J545" s="87"/>
      <c r="K545" s="87"/>
      <c r="L545" s="88"/>
      <c r="M545" s="111"/>
      <c r="N545" s="111"/>
    </row>
    <row r="546" spans="9:14">
      <c r="I546" s="87"/>
      <c r="J546" s="87"/>
      <c r="K546" s="87"/>
      <c r="L546" s="88"/>
      <c r="M546" s="111"/>
      <c r="N546" s="111"/>
    </row>
    <row r="547" spans="9:14">
      <c r="I547" s="87"/>
      <c r="J547" s="87"/>
      <c r="K547" s="87"/>
      <c r="L547" s="88"/>
      <c r="M547" s="111"/>
      <c r="N547" s="111"/>
    </row>
    <row r="548" spans="9:14">
      <c r="I548" s="87"/>
      <c r="J548" s="87"/>
      <c r="K548" s="87"/>
      <c r="L548" s="88"/>
      <c r="M548" s="111"/>
      <c r="N548" s="111"/>
    </row>
    <row r="549" spans="9:14">
      <c r="I549" s="87"/>
      <c r="J549" s="87"/>
      <c r="K549" s="87"/>
      <c r="L549" s="88"/>
      <c r="M549" s="111"/>
      <c r="N549" s="111"/>
    </row>
    <row r="550" spans="9:14">
      <c r="I550" s="87"/>
      <c r="J550" s="87"/>
      <c r="K550" s="87"/>
      <c r="L550" s="88"/>
      <c r="M550" s="111"/>
      <c r="N550" s="111"/>
    </row>
    <row r="551" spans="9:14">
      <c r="I551" s="87"/>
      <c r="J551" s="87"/>
      <c r="K551" s="87"/>
      <c r="L551" s="88"/>
      <c r="M551" s="111"/>
      <c r="N551" s="111"/>
    </row>
    <row r="552" spans="9:14">
      <c r="I552" s="87"/>
      <c r="J552" s="87"/>
      <c r="K552" s="87"/>
      <c r="L552" s="88"/>
      <c r="M552" s="111"/>
      <c r="N552" s="111"/>
    </row>
    <row r="553" spans="9:14">
      <c r="I553" s="87"/>
      <c r="J553" s="87"/>
      <c r="K553" s="87"/>
      <c r="L553" s="88"/>
      <c r="M553" s="111"/>
      <c r="N553" s="111"/>
    </row>
    <row r="554" spans="9:14">
      <c r="I554" s="87"/>
      <c r="J554" s="87"/>
      <c r="K554" s="87"/>
      <c r="L554" s="88"/>
      <c r="M554" s="111"/>
      <c r="N554" s="111"/>
    </row>
    <row r="555" spans="9:14">
      <c r="I555" s="87"/>
      <c r="J555" s="87"/>
      <c r="K555" s="87"/>
      <c r="L555" s="88"/>
      <c r="M555" s="111"/>
      <c r="N555" s="111"/>
    </row>
    <row r="556" spans="9:14">
      <c r="I556" s="87"/>
      <c r="J556" s="87"/>
      <c r="K556" s="87"/>
      <c r="L556" s="88"/>
      <c r="M556" s="111"/>
      <c r="N556" s="111"/>
    </row>
    <row r="557" spans="9:14">
      <c r="I557" s="87"/>
      <c r="J557" s="87"/>
      <c r="K557" s="87"/>
      <c r="L557" s="88"/>
      <c r="M557" s="111"/>
      <c r="N557" s="111"/>
    </row>
    <row r="558" spans="9:14">
      <c r="I558" s="87"/>
      <c r="J558" s="87"/>
      <c r="K558" s="87"/>
      <c r="L558" s="88"/>
      <c r="M558" s="111"/>
      <c r="N558" s="111"/>
    </row>
    <row r="559" spans="9:14">
      <c r="I559" s="87"/>
      <c r="J559" s="87"/>
      <c r="K559" s="87"/>
      <c r="L559" s="88"/>
      <c r="M559" s="111"/>
      <c r="N559" s="111"/>
    </row>
    <row r="560" spans="9:14">
      <c r="I560" s="87"/>
      <c r="J560" s="87"/>
      <c r="K560" s="87"/>
      <c r="L560" s="88"/>
      <c r="M560" s="111"/>
      <c r="N560" s="111"/>
    </row>
    <row r="561" spans="9:14">
      <c r="I561" s="87"/>
      <c r="J561" s="87"/>
      <c r="K561" s="87"/>
      <c r="L561" s="88"/>
      <c r="M561" s="111"/>
      <c r="N561" s="111"/>
    </row>
    <row r="562" spans="9:14">
      <c r="I562" s="87"/>
      <c r="J562" s="87"/>
      <c r="K562" s="87"/>
      <c r="L562" s="88"/>
      <c r="M562" s="111"/>
      <c r="N562" s="111"/>
    </row>
    <row r="563" spans="9:14">
      <c r="I563" s="87"/>
      <c r="J563" s="87"/>
      <c r="K563" s="87"/>
      <c r="L563" s="88"/>
      <c r="M563" s="111"/>
      <c r="N563" s="111"/>
    </row>
    <row r="564" spans="9:14">
      <c r="I564" s="87"/>
      <c r="J564" s="87"/>
      <c r="K564" s="87"/>
      <c r="L564" s="88"/>
      <c r="M564" s="111"/>
      <c r="N564" s="111"/>
    </row>
    <row r="565" spans="9:14">
      <c r="I565" s="87"/>
      <c r="J565" s="87"/>
      <c r="K565" s="87"/>
      <c r="L565" s="88"/>
      <c r="M565" s="111"/>
      <c r="N565" s="111"/>
    </row>
    <row r="566" spans="9:14">
      <c r="I566" s="87"/>
      <c r="J566" s="87"/>
      <c r="K566" s="87"/>
      <c r="L566" s="88"/>
      <c r="M566" s="111"/>
      <c r="N566" s="111"/>
    </row>
    <row r="567" spans="9:14">
      <c r="I567" s="87"/>
      <c r="J567" s="87"/>
      <c r="K567" s="87"/>
      <c r="L567" s="88"/>
      <c r="M567" s="111"/>
      <c r="N567" s="111"/>
    </row>
    <row r="568" spans="9:14">
      <c r="I568" s="87"/>
      <c r="J568" s="87"/>
      <c r="K568" s="87"/>
      <c r="L568" s="88"/>
      <c r="M568" s="111"/>
      <c r="N568" s="111"/>
    </row>
    <row r="569" spans="9:14">
      <c r="I569" s="87"/>
      <c r="J569" s="87"/>
      <c r="K569" s="87"/>
      <c r="L569" s="88"/>
      <c r="M569" s="111"/>
      <c r="N569" s="111"/>
    </row>
    <row r="570" spans="9:14">
      <c r="I570" s="87"/>
      <c r="J570" s="87"/>
      <c r="K570" s="87"/>
      <c r="L570" s="88"/>
      <c r="M570" s="111"/>
      <c r="N570" s="111"/>
    </row>
    <row r="571" spans="9:14">
      <c r="I571" s="87"/>
      <c r="J571" s="87"/>
      <c r="K571" s="87"/>
      <c r="L571" s="88"/>
      <c r="M571" s="111"/>
      <c r="N571" s="111"/>
    </row>
    <row r="572" spans="9:14">
      <c r="I572" s="87"/>
      <c r="J572" s="87"/>
      <c r="K572" s="87"/>
      <c r="L572" s="88"/>
      <c r="M572" s="111"/>
      <c r="N572" s="111"/>
    </row>
    <row r="573" spans="9:14">
      <c r="I573" s="87"/>
      <c r="J573" s="87"/>
      <c r="K573" s="87"/>
      <c r="L573" s="88"/>
      <c r="M573" s="111"/>
      <c r="N573" s="111"/>
    </row>
    <row r="574" spans="9:14">
      <c r="I574" s="87"/>
      <c r="J574" s="87"/>
      <c r="K574" s="87"/>
      <c r="L574" s="88"/>
      <c r="M574" s="111"/>
      <c r="N574" s="111"/>
    </row>
    <row r="575" spans="9:14">
      <c r="I575" s="87"/>
      <c r="J575" s="87"/>
      <c r="K575" s="87"/>
      <c r="L575" s="88"/>
      <c r="M575" s="111"/>
      <c r="N575" s="111"/>
    </row>
    <row r="576" spans="9:14">
      <c r="I576" s="87"/>
      <c r="J576" s="87"/>
      <c r="K576" s="87"/>
      <c r="L576" s="88"/>
      <c r="M576" s="111"/>
      <c r="N576" s="111"/>
    </row>
    <row r="577" spans="9:14">
      <c r="I577" s="87"/>
      <c r="J577" s="87"/>
      <c r="K577" s="87"/>
      <c r="L577" s="88"/>
      <c r="M577" s="111"/>
      <c r="N577" s="111"/>
    </row>
    <row r="578" spans="9:14">
      <c r="I578" s="87"/>
      <c r="J578" s="87"/>
      <c r="K578" s="87"/>
      <c r="L578" s="88"/>
      <c r="M578" s="111"/>
      <c r="N578" s="111"/>
    </row>
    <row r="579" spans="9:14">
      <c r="I579" s="87"/>
      <c r="J579" s="87"/>
      <c r="K579" s="87"/>
      <c r="L579" s="88"/>
      <c r="M579" s="111"/>
      <c r="N579" s="111"/>
    </row>
    <row r="580" spans="9:14">
      <c r="I580" s="87"/>
      <c r="J580" s="87"/>
      <c r="K580" s="87"/>
      <c r="L580" s="88"/>
      <c r="M580" s="111"/>
      <c r="N580" s="111"/>
    </row>
    <row r="581" spans="9:14">
      <c r="I581" s="87"/>
      <c r="J581" s="87"/>
      <c r="K581" s="87"/>
      <c r="L581" s="88"/>
      <c r="M581" s="111"/>
      <c r="N581" s="111"/>
    </row>
    <row r="582" spans="9:14">
      <c r="I582" s="87"/>
      <c r="J582" s="87"/>
      <c r="K582" s="87"/>
      <c r="L582" s="88"/>
      <c r="M582" s="111"/>
      <c r="N582" s="111"/>
    </row>
    <row r="583" spans="9:14">
      <c r="I583" s="87"/>
      <c r="J583" s="87"/>
      <c r="K583" s="87"/>
      <c r="L583" s="88"/>
      <c r="M583" s="111"/>
      <c r="N583" s="111"/>
    </row>
    <row r="584" spans="9:14">
      <c r="I584" s="87"/>
      <c r="J584" s="87"/>
      <c r="K584" s="87"/>
      <c r="L584" s="88"/>
      <c r="M584" s="111"/>
      <c r="N584" s="111"/>
    </row>
    <row r="585" spans="9:14">
      <c r="I585" s="87"/>
      <c r="J585" s="87"/>
      <c r="K585" s="87"/>
      <c r="L585" s="88"/>
      <c r="M585" s="111"/>
      <c r="N585" s="111"/>
    </row>
    <row r="586" spans="9:14">
      <c r="I586" s="87"/>
      <c r="J586" s="87"/>
      <c r="K586" s="87"/>
      <c r="L586" s="88"/>
      <c r="M586" s="111"/>
      <c r="N586" s="111"/>
    </row>
    <row r="587" spans="9:14">
      <c r="I587" s="87"/>
      <c r="J587" s="87"/>
      <c r="K587" s="87"/>
      <c r="L587" s="88"/>
      <c r="M587" s="111"/>
      <c r="N587" s="111"/>
    </row>
    <row r="588" spans="9:14">
      <c r="I588" s="87"/>
      <c r="J588" s="87"/>
      <c r="K588" s="87"/>
      <c r="L588" s="88"/>
      <c r="M588" s="111"/>
      <c r="N588" s="111"/>
    </row>
    <row r="589" spans="9:14">
      <c r="I589" s="87"/>
      <c r="J589" s="87"/>
      <c r="K589" s="87"/>
      <c r="L589" s="88"/>
      <c r="M589" s="111"/>
      <c r="N589" s="111"/>
    </row>
    <row r="590" spans="9:14">
      <c r="I590" s="87"/>
      <c r="J590" s="87"/>
      <c r="K590" s="87"/>
      <c r="L590" s="88"/>
      <c r="M590" s="111"/>
      <c r="N590" s="111"/>
    </row>
    <row r="591" spans="9:14">
      <c r="I591" s="87"/>
      <c r="J591" s="87"/>
      <c r="K591" s="87"/>
      <c r="L591" s="88"/>
      <c r="M591" s="111"/>
      <c r="N591" s="111"/>
    </row>
    <row r="592" spans="9:14">
      <c r="I592" s="87"/>
      <c r="J592" s="87"/>
      <c r="K592" s="87"/>
      <c r="L592" s="88"/>
      <c r="M592" s="111"/>
      <c r="N592" s="111"/>
    </row>
    <row r="593" spans="9:14">
      <c r="I593" s="87"/>
      <c r="J593" s="87"/>
      <c r="K593" s="87"/>
      <c r="L593" s="88"/>
      <c r="M593" s="111"/>
      <c r="N593" s="111"/>
    </row>
    <row r="594" spans="9:14">
      <c r="I594" s="87"/>
      <c r="J594" s="87"/>
      <c r="K594" s="87"/>
      <c r="L594" s="88"/>
      <c r="M594" s="111"/>
      <c r="N594" s="111"/>
    </row>
    <row r="595" spans="9:14">
      <c r="I595" s="87"/>
      <c r="J595" s="87"/>
      <c r="K595" s="87"/>
      <c r="L595" s="88"/>
      <c r="M595" s="111"/>
      <c r="N595" s="111"/>
    </row>
    <row r="596" spans="9:14">
      <c r="I596" s="87"/>
      <c r="J596" s="87"/>
      <c r="K596" s="87"/>
      <c r="L596" s="88"/>
      <c r="M596" s="111"/>
      <c r="N596" s="111"/>
    </row>
    <row r="597" spans="9:14">
      <c r="I597" s="87"/>
      <c r="J597" s="87"/>
      <c r="K597" s="87"/>
      <c r="L597" s="88"/>
      <c r="M597" s="111"/>
      <c r="N597" s="111"/>
    </row>
    <row r="598" spans="9:14">
      <c r="I598" s="87"/>
      <c r="J598" s="87"/>
      <c r="K598" s="87"/>
      <c r="L598" s="88"/>
      <c r="M598" s="111"/>
      <c r="N598" s="111"/>
    </row>
    <row r="599" spans="9:14">
      <c r="I599" s="87"/>
      <c r="J599" s="87"/>
      <c r="K599" s="87"/>
      <c r="L599" s="88"/>
      <c r="M599" s="111"/>
      <c r="N599" s="111"/>
    </row>
    <row r="600" spans="9:14">
      <c r="I600" s="87"/>
      <c r="J600" s="87"/>
      <c r="K600" s="87"/>
      <c r="L600" s="88"/>
      <c r="M600" s="111"/>
      <c r="N600" s="111"/>
    </row>
    <row r="601" spans="9:14">
      <c r="I601" s="87"/>
      <c r="J601" s="87"/>
      <c r="K601" s="87"/>
      <c r="L601" s="88"/>
      <c r="M601" s="111"/>
      <c r="N601" s="111"/>
    </row>
    <row r="602" spans="9:14">
      <c r="I602" s="87"/>
      <c r="J602" s="87"/>
      <c r="K602" s="87"/>
      <c r="L602" s="88"/>
      <c r="M602" s="111"/>
      <c r="N602" s="111"/>
    </row>
    <row r="603" spans="9:14">
      <c r="I603" s="87"/>
      <c r="J603" s="87"/>
      <c r="K603" s="87"/>
      <c r="L603" s="88"/>
      <c r="M603" s="111"/>
      <c r="N603" s="111"/>
    </row>
    <row r="604" spans="9:14">
      <c r="I604" s="87"/>
      <c r="J604" s="87"/>
      <c r="K604" s="87"/>
      <c r="L604" s="88"/>
      <c r="M604" s="111"/>
      <c r="N604" s="111"/>
    </row>
    <row r="605" spans="9:14">
      <c r="I605" s="87"/>
      <c r="J605" s="87"/>
      <c r="K605" s="87"/>
      <c r="L605" s="88"/>
      <c r="M605" s="111"/>
      <c r="N605" s="111"/>
    </row>
    <row r="606" spans="9:14">
      <c r="I606" s="87"/>
      <c r="J606" s="87"/>
      <c r="K606" s="87"/>
      <c r="L606" s="88"/>
      <c r="M606" s="111"/>
      <c r="N606" s="111"/>
    </row>
    <row r="607" spans="9:14">
      <c r="I607" s="87"/>
      <c r="J607" s="87"/>
      <c r="K607" s="87"/>
      <c r="L607" s="88"/>
      <c r="M607" s="111"/>
      <c r="N607" s="111"/>
    </row>
    <row r="608" spans="9:14">
      <c r="I608" s="87"/>
      <c r="J608" s="87"/>
      <c r="K608" s="87"/>
      <c r="L608" s="88"/>
      <c r="M608" s="111"/>
      <c r="N608" s="111"/>
    </row>
    <row r="609" spans="9:14">
      <c r="I609" s="87"/>
      <c r="J609" s="87"/>
      <c r="K609" s="87"/>
      <c r="L609" s="88"/>
      <c r="M609" s="111"/>
      <c r="N609" s="111"/>
    </row>
    <row r="610" spans="9:14">
      <c r="I610" s="87"/>
      <c r="J610" s="87"/>
      <c r="K610" s="87"/>
      <c r="L610" s="88"/>
      <c r="M610" s="111"/>
      <c r="N610" s="111"/>
    </row>
    <row r="611" spans="9:14">
      <c r="I611" s="87"/>
      <c r="J611" s="87"/>
      <c r="K611" s="87"/>
      <c r="L611" s="88"/>
      <c r="M611" s="111"/>
      <c r="N611" s="111"/>
    </row>
    <row r="612" spans="9:14">
      <c r="I612" s="87"/>
      <c r="J612" s="87"/>
      <c r="K612" s="87"/>
      <c r="L612" s="88"/>
      <c r="M612" s="111"/>
      <c r="N612" s="111"/>
    </row>
    <row r="613" spans="9:14">
      <c r="I613" s="87"/>
      <c r="J613" s="87"/>
      <c r="K613" s="87"/>
      <c r="L613" s="88"/>
      <c r="M613" s="111"/>
      <c r="N613" s="111"/>
    </row>
    <row r="614" spans="9:14">
      <c r="I614" s="87"/>
      <c r="J614" s="87"/>
      <c r="K614" s="87"/>
      <c r="L614" s="88"/>
      <c r="M614" s="111"/>
      <c r="N614" s="111"/>
    </row>
    <row r="615" spans="9:14">
      <c r="I615" s="87"/>
      <c r="J615" s="87"/>
      <c r="K615" s="87"/>
      <c r="L615" s="88"/>
      <c r="M615" s="111"/>
      <c r="N615" s="111"/>
    </row>
    <row r="616" spans="9:14">
      <c r="I616" s="87"/>
      <c r="J616" s="87"/>
      <c r="K616" s="87"/>
      <c r="L616" s="88"/>
      <c r="M616" s="111"/>
      <c r="N616" s="111"/>
    </row>
    <row r="617" spans="9:14">
      <c r="I617" s="87"/>
      <c r="J617" s="87"/>
      <c r="K617" s="87"/>
      <c r="L617" s="88"/>
      <c r="M617" s="111"/>
      <c r="N617" s="111"/>
    </row>
    <row r="618" spans="9:14">
      <c r="I618" s="87"/>
      <c r="J618" s="87"/>
      <c r="K618" s="87"/>
      <c r="L618" s="88"/>
      <c r="M618" s="111"/>
      <c r="N618" s="111"/>
    </row>
    <row r="619" spans="9:14">
      <c r="I619" s="87"/>
      <c r="J619" s="87"/>
      <c r="K619" s="87"/>
      <c r="L619" s="88"/>
      <c r="M619" s="111"/>
      <c r="N619" s="111"/>
    </row>
    <row r="620" spans="9:14">
      <c r="I620" s="87"/>
      <c r="J620" s="87"/>
      <c r="K620" s="87"/>
      <c r="L620" s="88"/>
      <c r="M620" s="111"/>
      <c r="N620" s="111"/>
    </row>
    <row r="621" spans="9:14">
      <c r="I621" s="87"/>
      <c r="J621" s="87"/>
      <c r="K621" s="87"/>
      <c r="L621" s="88"/>
      <c r="M621" s="111"/>
      <c r="N621" s="111"/>
    </row>
    <row r="622" spans="9:14">
      <c r="I622" s="87"/>
      <c r="J622" s="87"/>
      <c r="K622" s="87"/>
      <c r="L622" s="88"/>
      <c r="M622" s="111"/>
      <c r="N622" s="111"/>
    </row>
    <row r="623" spans="9:14">
      <c r="I623" s="87"/>
      <c r="J623" s="87"/>
      <c r="K623" s="87"/>
      <c r="L623" s="88"/>
      <c r="M623" s="111"/>
      <c r="N623" s="111"/>
    </row>
    <row r="624" spans="9:14">
      <c r="I624" s="87"/>
      <c r="J624" s="87"/>
      <c r="K624" s="87"/>
      <c r="L624" s="88"/>
      <c r="M624" s="111"/>
      <c r="N624" s="111"/>
    </row>
    <row r="625" spans="9:14">
      <c r="I625" s="87"/>
      <c r="J625" s="87"/>
      <c r="K625" s="87"/>
      <c r="L625" s="88"/>
      <c r="M625" s="111"/>
      <c r="N625" s="111"/>
    </row>
    <row r="626" spans="9:14">
      <c r="I626" s="87"/>
      <c r="J626" s="87"/>
      <c r="K626" s="87"/>
      <c r="L626" s="88"/>
      <c r="M626" s="111"/>
      <c r="N626" s="111"/>
    </row>
    <row r="627" spans="9:14">
      <c r="I627" s="87"/>
      <c r="J627" s="87"/>
      <c r="K627" s="87"/>
      <c r="L627" s="88"/>
      <c r="M627" s="111"/>
      <c r="N627" s="111"/>
    </row>
    <row r="628" spans="9:14">
      <c r="I628" s="87"/>
      <c r="J628" s="87"/>
      <c r="K628" s="87"/>
      <c r="L628" s="88"/>
      <c r="M628" s="111"/>
      <c r="N628" s="111"/>
    </row>
    <row r="629" spans="9:14">
      <c r="I629" s="87"/>
      <c r="J629" s="87"/>
      <c r="K629" s="87"/>
      <c r="L629" s="88"/>
      <c r="M629" s="111"/>
      <c r="N629" s="111"/>
    </row>
    <row r="630" spans="9:14">
      <c r="I630" s="87"/>
      <c r="J630" s="87"/>
      <c r="K630" s="87"/>
      <c r="L630" s="88"/>
      <c r="M630" s="111"/>
      <c r="N630" s="111"/>
    </row>
    <row r="631" spans="9:14">
      <c r="I631" s="87"/>
      <c r="J631" s="87"/>
      <c r="K631" s="87"/>
      <c r="L631" s="88"/>
      <c r="M631" s="111"/>
      <c r="N631" s="111"/>
    </row>
    <row r="632" spans="9:14">
      <c r="I632" s="87"/>
      <c r="J632" s="87"/>
      <c r="K632" s="87"/>
      <c r="L632" s="88"/>
      <c r="M632" s="111"/>
      <c r="N632" s="111"/>
    </row>
    <row r="633" spans="9:14">
      <c r="I633" s="87"/>
      <c r="J633" s="87"/>
      <c r="K633" s="87"/>
      <c r="L633" s="88"/>
      <c r="M633" s="111"/>
      <c r="N633" s="111"/>
    </row>
    <row r="634" spans="9:14">
      <c r="I634" s="87"/>
      <c r="J634" s="87"/>
      <c r="K634" s="87"/>
      <c r="L634" s="88"/>
      <c r="M634" s="111"/>
      <c r="N634" s="111"/>
    </row>
    <row r="635" spans="9:14">
      <c r="I635" s="87"/>
      <c r="J635" s="87"/>
      <c r="K635" s="87"/>
      <c r="L635" s="88"/>
      <c r="M635" s="111"/>
      <c r="N635" s="111"/>
    </row>
    <row r="636" spans="9:14">
      <c r="I636" s="87"/>
      <c r="J636" s="87"/>
      <c r="K636" s="87"/>
      <c r="L636" s="88"/>
      <c r="M636" s="111"/>
      <c r="N636" s="111"/>
    </row>
    <row r="637" spans="9:14">
      <c r="I637" s="87"/>
      <c r="J637" s="87"/>
      <c r="K637" s="87"/>
      <c r="L637" s="88"/>
      <c r="M637" s="111"/>
      <c r="N637" s="111"/>
    </row>
    <row r="638" spans="9:14">
      <c r="I638" s="87"/>
      <c r="J638" s="87"/>
      <c r="K638" s="87"/>
      <c r="L638" s="88"/>
      <c r="M638" s="111"/>
      <c r="N638" s="111"/>
    </row>
    <row r="639" spans="9:14">
      <c r="I639" s="87"/>
      <c r="J639" s="87"/>
      <c r="K639" s="87"/>
      <c r="L639" s="88"/>
      <c r="M639" s="111"/>
      <c r="N639" s="111"/>
    </row>
    <row r="640" spans="9:14">
      <c r="I640" s="87"/>
      <c r="J640" s="87"/>
      <c r="K640" s="87"/>
      <c r="L640" s="88"/>
      <c r="M640" s="111"/>
      <c r="N640" s="111"/>
    </row>
    <row r="641" spans="9:14">
      <c r="I641" s="87"/>
      <c r="J641" s="87"/>
      <c r="K641" s="87"/>
      <c r="L641" s="88"/>
      <c r="M641" s="111"/>
      <c r="N641" s="111"/>
    </row>
    <row r="642" spans="9:14">
      <c r="I642" s="87"/>
      <c r="J642" s="87"/>
      <c r="K642" s="87"/>
      <c r="L642" s="88"/>
      <c r="M642" s="111"/>
      <c r="N642" s="111"/>
    </row>
    <row r="643" spans="9:14">
      <c r="I643" s="87"/>
      <c r="J643" s="87"/>
      <c r="K643" s="87"/>
      <c r="L643" s="88"/>
      <c r="M643" s="111"/>
      <c r="N643" s="111"/>
    </row>
    <row r="644" spans="9:14">
      <c r="I644" s="87"/>
      <c r="J644" s="87"/>
      <c r="K644" s="87"/>
      <c r="L644" s="88"/>
      <c r="M644" s="111"/>
      <c r="N644" s="111"/>
    </row>
    <row r="645" spans="9:14">
      <c r="I645" s="87"/>
      <c r="J645" s="87"/>
      <c r="K645" s="87"/>
      <c r="L645" s="88"/>
      <c r="M645" s="111"/>
      <c r="N645" s="111"/>
    </row>
    <row r="646" spans="9:14">
      <c r="I646" s="87"/>
      <c r="J646" s="87"/>
      <c r="K646" s="87"/>
      <c r="L646" s="88"/>
      <c r="M646" s="111"/>
      <c r="N646" s="111"/>
    </row>
    <row r="647" spans="9:14">
      <c r="I647" s="87"/>
      <c r="J647" s="87"/>
      <c r="K647" s="87"/>
      <c r="L647" s="88"/>
      <c r="M647" s="111"/>
      <c r="N647" s="111"/>
    </row>
    <row r="648" spans="9:14">
      <c r="I648" s="87"/>
      <c r="J648" s="87"/>
      <c r="K648" s="87"/>
      <c r="L648" s="88"/>
      <c r="M648" s="111"/>
      <c r="N648" s="111"/>
    </row>
    <row r="649" spans="9:14">
      <c r="I649" s="87"/>
      <c r="J649" s="87"/>
      <c r="K649" s="87"/>
      <c r="L649" s="88"/>
      <c r="M649" s="111"/>
      <c r="N649" s="111"/>
    </row>
    <row r="650" spans="9:14">
      <c r="I650" s="87"/>
      <c r="J650" s="87"/>
      <c r="K650" s="87"/>
      <c r="L650" s="88"/>
      <c r="M650" s="111"/>
      <c r="N650" s="111"/>
    </row>
    <row r="651" spans="9:14">
      <c r="I651" s="87"/>
      <c r="J651" s="87"/>
      <c r="K651" s="87"/>
      <c r="L651" s="88"/>
      <c r="M651" s="111"/>
      <c r="N651" s="111"/>
    </row>
    <row r="652" spans="9:14">
      <c r="I652" s="87"/>
      <c r="J652" s="87"/>
      <c r="K652" s="87"/>
      <c r="L652" s="88"/>
      <c r="M652" s="111"/>
      <c r="N652" s="111"/>
    </row>
    <row r="653" spans="9:14">
      <c r="I653" s="87"/>
      <c r="J653" s="87"/>
      <c r="K653" s="87"/>
      <c r="L653" s="88"/>
      <c r="M653" s="111"/>
      <c r="N653" s="111"/>
    </row>
    <row r="654" spans="9:14">
      <c r="I654" s="87"/>
      <c r="J654" s="87"/>
      <c r="K654" s="87"/>
      <c r="L654" s="88"/>
      <c r="M654" s="111"/>
      <c r="N654" s="111"/>
    </row>
    <row r="655" spans="9:14">
      <c r="I655" s="87"/>
      <c r="J655" s="87"/>
      <c r="K655" s="87"/>
      <c r="L655" s="88"/>
      <c r="M655" s="111"/>
      <c r="N655" s="111"/>
    </row>
    <row r="656" spans="9:14">
      <c r="I656" s="87"/>
      <c r="J656" s="87"/>
      <c r="K656" s="87"/>
      <c r="L656" s="88"/>
      <c r="M656" s="111"/>
      <c r="N656" s="111"/>
    </row>
    <row r="657" spans="9:14">
      <c r="I657" s="87"/>
      <c r="J657" s="87"/>
      <c r="K657" s="87"/>
      <c r="L657" s="88"/>
      <c r="M657" s="111"/>
      <c r="N657" s="111"/>
    </row>
    <row r="658" spans="9:14">
      <c r="I658" s="87"/>
      <c r="J658" s="87"/>
      <c r="K658" s="87"/>
      <c r="L658" s="88"/>
      <c r="M658" s="111"/>
      <c r="N658" s="111"/>
    </row>
    <row r="659" spans="9:14">
      <c r="I659" s="87"/>
      <c r="J659" s="87"/>
      <c r="K659" s="87"/>
      <c r="L659" s="88"/>
      <c r="M659" s="111"/>
      <c r="N659" s="111"/>
    </row>
    <row r="660" spans="9:14">
      <c r="I660" s="87"/>
      <c r="J660" s="87"/>
      <c r="K660" s="87"/>
      <c r="L660" s="88"/>
      <c r="M660" s="111"/>
      <c r="N660" s="111"/>
    </row>
    <row r="661" spans="9:14">
      <c r="I661" s="87"/>
      <c r="J661" s="87"/>
      <c r="K661" s="87"/>
      <c r="L661" s="88"/>
      <c r="M661" s="111"/>
      <c r="N661" s="111"/>
    </row>
    <row r="662" spans="9:14">
      <c r="I662" s="87"/>
      <c r="J662" s="87"/>
      <c r="K662" s="87"/>
      <c r="L662" s="88"/>
      <c r="M662" s="111"/>
      <c r="N662" s="111"/>
    </row>
    <row r="663" spans="9:14">
      <c r="I663" s="87"/>
      <c r="J663" s="87"/>
      <c r="K663" s="87"/>
      <c r="L663" s="88"/>
      <c r="M663" s="111"/>
      <c r="N663" s="111"/>
    </row>
    <row r="664" spans="9:14">
      <c r="I664" s="87"/>
      <c r="J664" s="87"/>
      <c r="K664" s="87"/>
      <c r="L664" s="88"/>
      <c r="M664" s="111"/>
      <c r="N664" s="111"/>
    </row>
    <row r="665" spans="9:14">
      <c r="I665" s="87"/>
      <c r="J665" s="87"/>
      <c r="K665" s="87"/>
      <c r="L665" s="88"/>
      <c r="M665" s="111"/>
      <c r="N665" s="111"/>
    </row>
    <row r="666" spans="9:14">
      <c r="I666" s="87"/>
      <c r="J666" s="87"/>
      <c r="K666" s="87"/>
      <c r="L666" s="88"/>
      <c r="M666" s="111"/>
      <c r="N666" s="111"/>
    </row>
    <row r="667" spans="9:14">
      <c r="I667" s="87"/>
      <c r="J667" s="87"/>
      <c r="K667" s="87"/>
      <c r="L667" s="88"/>
      <c r="M667" s="111"/>
      <c r="N667" s="111"/>
    </row>
    <row r="668" spans="9:14">
      <c r="I668" s="87"/>
      <c r="J668" s="87"/>
      <c r="K668" s="87"/>
      <c r="L668" s="88"/>
      <c r="M668" s="111"/>
      <c r="N668" s="111"/>
    </row>
    <row r="669" spans="9:14">
      <c r="I669" s="87"/>
      <c r="J669" s="87"/>
      <c r="K669" s="87"/>
      <c r="L669" s="88"/>
      <c r="M669" s="111"/>
      <c r="N669" s="111"/>
    </row>
    <row r="670" spans="9:14">
      <c r="I670" s="87"/>
      <c r="J670" s="87"/>
      <c r="K670" s="87"/>
      <c r="L670" s="88"/>
      <c r="M670" s="111"/>
      <c r="N670" s="111"/>
    </row>
    <row r="671" spans="9:14">
      <c r="I671" s="87"/>
      <c r="J671" s="87"/>
      <c r="K671" s="87"/>
      <c r="L671" s="88"/>
      <c r="M671" s="111"/>
      <c r="N671" s="111"/>
    </row>
    <row r="672" spans="9:14">
      <c r="I672" s="87"/>
      <c r="J672" s="87"/>
      <c r="K672" s="87"/>
      <c r="L672" s="88"/>
      <c r="M672" s="111"/>
      <c r="N672" s="111"/>
    </row>
    <row r="673" spans="9:14">
      <c r="I673" s="87"/>
      <c r="J673" s="87"/>
      <c r="K673" s="87"/>
      <c r="L673" s="88"/>
      <c r="M673" s="111"/>
      <c r="N673" s="111"/>
    </row>
    <row r="674" spans="9:14">
      <c r="I674" s="87"/>
      <c r="J674" s="87"/>
      <c r="K674" s="87"/>
      <c r="L674" s="88"/>
      <c r="M674" s="111"/>
      <c r="N674" s="111"/>
    </row>
    <row r="675" spans="9:14">
      <c r="I675" s="87"/>
      <c r="J675" s="87"/>
      <c r="K675" s="87"/>
      <c r="L675" s="88"/>
      <c r="M675" s="111"/>
      <c r="N675" s="111"/>
    </row>
    <row r="676" spans="9:14">
      <c r="I676" s="87"/>
      <c r="J676" s="87"/>
      <c r="K676" s="87"/>
      <c r="L676" s="88"/>
      <c r="M676" s="111"/>
      <c r="N676" s="111"/>
    </row>
    <row r="677" spans="9:14">
      <c r="I677" s="87"/>
      <c r="J677" s="87"/>
      <c r="K677" s="87"/>
      <c r="L677" s="88"/>
      <c r="M677" s="111"/>
      <c r="N677" s="111"/>
    </row>
    <row r="678" spans="9:14">
      <c r="I678" s="87"/>
      <c r="J678" s="87"/>
      <c r="K678" s="87"/>
      <c r="L678" s="88"/>
      <c r="M678" s="111"/>
      <c r="N678" s="111"/>
    </row>
    <row r="679" spans="9:14">
      <c r="I679" s="87"/>
      <c r="J679" s="87"/>
      <c r="K679" s="87"/>
      <c r="L679" s="88"/>
      <c r="M679" s="111"/>
      <c r="N679" s="111"/>
    </row>
    <row r="680" spans="9:14">
      <c r="I680" s="87"/>
      <c r="J680" s="87"/>
      <c r="K680" s="87"/>
      <c r="L680" s="88"/>
      <c r="M680" s="111"/>
      <c r="N680" s="111"/>
    </row>
    <row r="681" spans="9:14">
      <c r="I681" s="87"/>
      <c r="J681" s="87"/>
      <c r="K681" s="87"/>
      <c r="L681" s="88"/>
      <c r="M681" s="111"/>
      <c r="N681" s="111"/>
    </row>
    <row r="682" spans="9:14">
      <c r="I682" s="87"/>
      <c r="J682" s="87"/>
      <c r="K682" s="87"/>
      <c r="L682" s="88"/>
      <c r="M682" s="111"/>
      <c r="N682" s="111"/>
    </row>
    <row r="683" spans="9:14">
      <c r="I683" s="87"/>
      <c r="J683" s="87"/>
      <c r="K683" s="87"/>
      <c r="L683" s="88"/>
      <c r="M683" s="111"/>
      <c r="N683" s="111"/>
    </row>
    <row r="684" spans="9:14">
      <c r="I684" s="87"/>
      <c r="J684" s="87"/>
      <c r="K684" s="87"/>
      <c r="L684" s="88"/>
      <c r="M684" s="111"/>
      <c r="N684" s="111"/>
    </row>
    <row r="685" spans="9:14">
      <c r="I685" s="87"/>
      <c r="J685" s="87"/>
      <c r="K685" s="87"/>
      <c r="L685" s="88"/>
      <c r="M685" s="111"/>
      <c r="N685" s="111"/>
    </row>
    <row r="686" spans="9:14">
      <c r="I686" s="87"/>
      <c r="J686" s="87"/>
      <c r="K686" s="87"/>
      <c r="L686" s="88"/>
      <c r="M686" s="111"/>
      <c r="N686" s="111"/>
    </row>
    <row r="687" spans="9:14">
      <c r="I687" s="87"/>
      <c r="J687" s="87"/>
      <c r="K687" s="87"/>
      <c r="L687" s="88"/>
      <c r="M687" s="111"/>
      <c r="N687" s="111"/>
    </row>
    <row r="688" spans="9:14">
      <c r="I688" s="87"/>
      <c r="J688" s="87"/>
      <c r="K688" s="87"/>
      <c r="L688" s="88"/>
      <c r="M688" s="111"/>
      <c r="N688" s="111"/>
    </row>
    <row r="689" spans="9:14">
      <c r="I689" s="87"/>
      <c r="J689" s="87"/>
      <c r="K689" s="87"/>
      <c r="L689" s="88"/>
      <c r="M689" s="111"/>
      <c r="N689" s="111"/>
    </row>
    <row r="690" spans="9:14">
      <c r="I690" s="87"/>
      <c r="J690" s="87"/>
      <c r="K690" s="87"/>
      <c r="L690" s="88"/>
      <c r="M690" s="111"/>
      <c r="N690" s="111"/>
    </row>
    <row r="691" spans="9:14">
      <c r="I691" s="87"/>
      <c r="J691" s="87"/>
      <c r="K691" s="87"/>
      <c r="L691" s="88"/>
      <c r="M691" s="111"/>
      <c r="N691" s="111"/>
    </row>
    <row r="692" spans="9:14">
      <c r="I692" s="87"/>
      <c r="J692" s="87"/>
      <c r="K692" s="87"/>
      <c r="L692" s="88"/>
      <c r="M692" s="111"/>
      <c r="N692" s="111"/>
    </row>
    <row r="693" spans="9:14">
      <c r="I693" s="87"/>
      <c r="J693" s="87"/>
      <c r="K693" s="87"/>
      <c r="L693" s="88"/>
      <c r="M693" s="111"/>
      <c r="N693" s="111"/>
    </row>
    <row r="694" spans="9:14">
      <c r="I694" s="87"/>
      <c r="J694" s="87"/>
      <c r="K694" s="87"/>
      <c r="L694" s="88"/>
      <c r="M694" s="111"/>
      <c r="N694" s="111"/>
    </row>
    <row r="695" spans="9:14">
      <c r="I695" s="87"/>
      <c r="J695" s="87"/>
      <c r="K695" s="87"/>
      <c r="L695" s="88"/>
      <c r="M695" s="111"/>
      <c r="N695" s="111"/>
    </row>
    <row r="696" spans="9:14">
      <c r="I696" s="87"/>
      <c r="J696" s="87"/>
      <c r="K696" s="87"/>
      <c r="L696" s="88"/>
      <c r="M696" s="111"/>
      <c r="N696" s="111"/>
    </row>
    <row r="697" spans="9:14">
      <c r="I697" s="87"/>
      <c r="J697" s="87"/>
      <c r="K697" s="87"/>
      <c r="L697" s="88"/>
      <c r="M697" s="111"/>
      <c r="N697" s="111"/>
    </row>
    <row r="698" spans="9:14">
      <c r="I698" s="87"/>
      <c r="J698" s="87"/>
      <c r="K698" s="87"/>
      <c r="L698" s="88"/>
      <c r="M698" s="111"/>
      <c r="N698" s="111"/>
    </row>
    <row r="699" spans="9:14">
      <c r="I699" s="87"/>
      <c r="J699" s="87"/>
      <c r="K699" s="87"/>
      <c r="L699" s="88"/>
      <c r="M699" s="111"/>
      <c r="N699" s="111"/>
    </row>
    <row r="700" spans="9:14">
      <c r="I700" s="87"/>
      <c r="J700" s="87"/>
      <c r="K700" s="87"/>
      <c r="L700" s="88"/>
      <c r="M700" s="111"/>
      <c r="N700" s="111"/>
    </row>
    <row r="701" spans="9:14">
      <c r="I701" s="87"/>
      <c r="J701" s="87"/>
      <c r="K701" s="87"/>
      <c r="L701" s="88"/>
      <c r="M701" s="111"/>
      <c r="N701" s="111"/>
    </row>
    <row r="702" spans="9:14">
      <c r="I702" s="87"/>
      <c r="J702" s="87"/>
      <c r="K702" s="87"/>
      <c r="L702" s="88"/>
      <c r="M702" s="111"/>
      <c r="N702" s="111"/>
    </row>
    <row r="703" spans="9:14">
      <c r="I703" s="87"/>
      <c r="J703" s="87"/>
      <c r="K703" s="87"/>
      <c r="L703" s="88"/>
      <c r="M703" s="111"/>
      <c r="N703" s="111"/>
    </row>
    <row r="704" spans="9:14">
      <c r="I704" s="87"/>
      <c r="J704" s="87"/>
      <c r="K704" s="87"/>
      <c r="L704" s="88"/>
      <c r="M704" s="111"/>
      <c r="N704" s="111"/>
    </row>
    <row r="705" spans="9:14">
      <c r="I705" s="87"/>
      <c r="J705" s="87"/>
      <c r="K705" s="87"/>
      <c r="L705" s="88"/>
      <c r="M705" s="111"/>
      <c r="N705" s="111"/>
    </row>
    <row r="706" spans="9:14">
      <c r="I706" s="87"/>
      <c r="J706" s="87"/>
      <c r="K706" s="87"/>
      <c r="L706" s="88"/>
      <c r="M706" s="111"/>
      <c r="N706" s="111"/>
    </row>
    <row r="707" spans="9:14">
      <c r="I707" s="87"/>
      <c r="J707" s="87"/>
      <c r="K707" s="87"/>
      <c r="L707" s="88"/>
      <c r="M707" s="111"/>
      <c r="N707" s="111"/>
    </row>
    <row r="708" spans="9:14">
      <c r="I708" s="87"/>
      <c r="J708" s="87"/>
      <c r="K708" s="87"/>
      <c r="L708" s="88"/>
      <c r="M708" s="111"/>
      <c r="N708" s="111"/>
    </row>
    <row r="709" spans="9:14">
      <c r="I709" s="87"/>
      <c r="J709" s="87"/>
      <c r="K709" s="87"/>
      <c r="L709" s="88"/>
      <c r="M709" s="111"/>
      <c r="N709" s="111"/>
    </row>
    <row r="710" spans="9:14">
      <c r="I710" s="87"/>
      <c r="J710" s="87"/>
      <c r="K710" s="87"/>
      <c r="L710" s="88"/>
      <c r="M710" s="111"/>
      <c r="N710" s="111"/>
    </row>
    <row r="711" spans="9:14">
      <c r="I711" s="87"/>
      <c r="J711" s="87"/>
      <c r="K711" s="87"/>
      <c r="L711" s="88"/>
      <c r="M711" s="111"/>
      <c r="N711" s="111"/>
    </row>
    <row r="712" spans="9:14">
      <c r="I712" s="87"/>
      <c r="J712" s="87"/>
      <c r="K712" s="87"/>
      <c r="L712" s="88"/>
      <c r="M712" s="111"/>
      <c r="N712" s="111"/>
    </row>
    <row r="713" spans="9:14">
      <c r="I713" s="87"/>
      <c r="J713" s="87"/>
      <c r="K713" s="87"/>
      <c r="L713" s="88"/>
      <c r="M713" s="111"/>
      <c r="N713" s="111"/>
    </row>
    <row r="714" spans="9:14">
      <c r="I714" s="87"/>
      <c r="J714" s="87"/>
      <c r="K714" s="87"/>
      <c r="L714" s="88"/>
      <c r="M714" s="111"/>
      <c r="N714" s="111"/>
    </row>
    <row r="715" spans="9:14">
      <c r="I715" s="87"/>
      <c r="J715" s="87"/>
      <c r="K715" s="87"/>
      <c r="L715" s="88"/>
      <c r="M715" s="111"/>
      <c r="N715" s="111"/>
    </row>
    <row r="716" spans="9:14">
      <c r="I716" s="87"/>
      <c r="J716" s="87"/>
      <c r="K716" s="87"/>
      <c r="L716" s="88"/>
      <c r="M716" s="111"/>
      <c r="N716" s="111"/>
    </row>
    <row r="717" spans="9:14">
      <c r="I717" s="87"/>
      <c r="J717" s="87"/>
      <c r="K717" s="87"/>
      <c r="L717" s="88"/>
      <c r="M717" s="111"/>
      <c r="N717" s="111"/>
    </row>
    <row r="718" spans="9:14">
      <c r="I718" s="87"/>
      <c r="J718" s="87"/>
      <c r="K718" s="87"/>
      <c r="L718" s="88"/>
      <c r="M718" s="111"/>
      <c r="N718" s="111"/>
    </row>
    <row r="719" spans="9:14">
      <c r="I719" s="87"/>
      <c r="J719" s="87"/>
      <c r="K719" s="87"/>
      <c r="L719" s="88"/>
      <c r="M719" s="111"/>
      <c r="N719" s="111"/>
    </row>
    <row r="720" spans="9:14">
      <c r="I720" s="87"/>
      <c r="J720" s="87"/>
      <c r="K720" s="87"/>
      <c r="L720" s="88"/>
      <c r="M720" s="111"/>
      <c r="N720" s="111"/>
    </row>
    <row r="721" spans="9:14">
      <c r="I721" s="87"/>
      <c r="J721" s="87"/>
      <c r="K721" s="87"/>
      <c r="L721" s="88"/>
      <c r="M721" s="111"/>
      <c r="N721" s="111"/>
    </row>
    <row r="722" spans="9:14">
      <c r="I722" s="87"/>
      <c r="J722" s="87"/>
      <c r="K722" s="87"/>
      <c r="L722" s="88"/>
      <c r="M722" s="111"/>
      <c r="N722" s="111"/>
    </row>
    <row r="723" spans="9:14">
      <c r="I723" s="87"/>
      <c r="J723" s="87"/>
      <c r="K723" s="87"/>
      <c r="L723" s="88"/>
      <c r="M723" s="111"/>
      <c r="N723" s="111"/>
    </row>
    <row r="724" spans="9:14">
      <c r="I724" s="87"/>
      <c r="J724" s="87"/>
      <c r="K724" s="87"/>
      <c r="L724" s="88"/>
      <c r="M724" s="111"/>
      <c r="N724" s="111"/>
    </row>
    <row r="725" spans="9:14">
      <c r="I725" s="87"/>
      <c r="J725" s="87"/>
      <c r="K725" s="87"/>
      <c r="L725" s="88"/>
      <c r="M725" s="111"/>
      <c r="N725" s="111"/>
    </row>
    <row r="726" spans="9:14">
      <c r="I726" s="87"/>
      <c r="J726" s="87"/>
      <c r="K726" s="87"/>
      <c r="L726" s="88"/>
      <c r="M726" s="111"/>
      <c r="N726" s="111"/>
    </row>
    <row r="727" spans="9:14">
      <c r="I727" s="87"/>
      <c r="J727" s="87"/>
      <c r="K727" s="87"/>
      <c r="L727" s="88"/>
      <c r="M727" s="111"/>
      <c r="N727" s="111"/>
    </row>
    <row r="728" spans="9:14">
      <c r="I728" s="87"/>
      <c r="J728" s="87"/>
      <c r="K728" s="87"/>
      <c r="L728" s="88"/>
      <c r="M728" s="111"/>
      <c r="N728" s="111"/>
    </row>
    <row r="729" spans="9:14">
      <c r="I729" s="87"/>
      <c r="J729" s="87"/>
      <c r="K729" s="87"/>
      <c r="L729" s="88"/>
      <c r="M729" s="111"/>
      <c r="N729" s="111"/>
    </row>
    <row r="730" spans="9:14">
      <c r="I730" s="87"/>
      <c r="J730" s="87"/>
      <c r="K730" s="87"/>
      <c r="L730" s="88"/>
      <c r="M730" s="111"/>
      <c r="N730" s="111"/>
    </row>
    <row r="731" spans="9:14">
      <c r="I731" s="87"/>
      <c r="J731" s="87"/>
      <c r="K731" s="87"/>
      <c r="L731" s="88"/>
      <c r="M731" s="111"/>
      <c r="N731" s="111"/>
    </row>
    <row r="732" spans="9:14">
      <c r="I732" s="87"/>
      <c r="J732" s="87"/>
      <c r="K732" s="87"/>
      <c r="L732" s="88"/>
      <c r="M732" s="111"/>
      <c r="N732" s="111"/>
    </row>
    <row r="733" spans="9:14">
      <c r="I733" s="87"/>
      <c r="J733" s="87"/>
      <c r="K733" s="87"/>
      <c r="L733" s="88"/>
      <c r="M733" s="111"/>
      <c r="N733" s="111"/>
    </row>
    <row r="734" spans="9:14">
      <c r="I734" s="87"/>
      <c r="J734" s="87"/>
      <c r="K734" s="87"/>
      <c r="L734" s="88"/>
      <c r="M734" s="111"/>
      <c r="N734" s="111"/>
    </row>
    <row r="735" spans="9:14">
      <c r="I735" s="87"/>
      <c r="J735" s="87"/>
      <c r="K735" s="87"/>
      <c r="L735" s="88"/>
      <c r="M735" s="111"/>
      <c r="N735" s="111"/>
    </row>
    <row r="736" spans="9:14">
      <c r="I736" s="87"/>
      <c r="J736" s="87"/>
      <c r="K736" s="87"/>
      <c r="L736" s="88"/>
      <c r="M736" s="111"/>
      <c r="N736" s="111"/>
    </row>
    <row r="737" spans="9:14">
      <c r="I737" s="87"/>
      <c r="J737" s="87"/>
      <c r="K737" s="87"/>
      <c r="L737" s="88"/>
      <c r="M737" s="111"/>
      <c r="N737" s="111"/>
    </row>
    <row r="738" spans="9:14">
      <c r="I738" s="87"/>
      <c r="J738" s="87"/>
      <c r="K738" s="87"/>
      <c r="L738" s="88"/>
      <c r="M738" s="111"/>
      <c r="N738" s="111"/>
    </row>
    <row r="739" spans="9:14">
      <c r="I739" s="87"/>
      <c r="J739" s="87"/>
      <c r="K739" s="87"/>
      <c r="L739" s="88"/>
      <c r="M739" s="111"/>
      <c r="N739" s="111"/>
    </row>
    <row r="740" spans="9:14">
      <c r="I740" s="87"/>
      <c r="J740" s="87"/>
      <c r="K740" s="87"/>
      <c r="L740" s="88"/>
      <c r="M740" s="111"/>
      <c r="N740" s="111"/>
    </row>
    <row r="741" spans="9:14">
      <c r="I741" s="87"/>
      <c r="J741" s="87"/>
      <c r="K741" s="87"/>
      <c r="L741" s="88"/>
      <c r="M741" s="111"/>
      <c r="N741" s="111"/>
    </row>
    <row r="742" spans="9:14">
      <c r="I742" s="87"/>
      <c r="J742" s="87"/>
      <c r="K742" s="87"/>
      <c r="L742" s="88"/>
      <c r="M742" s="111"/>
      <c r="N742" s="111"/>
    </row>
    <row r="743" spans="9:14">
      <c r="I743" s="87"/>
      <c r="J743" s="87"/>
      <c r="K743" s="87"/>
      <c r="L743" s="88"/>
      <c r="M743" s="111"/>
      <c r="N743" s="111"/>
    </row>
    <row r="744" spans="9:14">
      <c r="I744" s="87"/>
      <c r="J744" s="87"/>
      <c r="K744" s="87"/>
      <c r="L744" s="88"/>
      <c r="M744" s="111"/>
      <c r="N744" s="111"/>
    </row>
    <row r="745" spans="9:14">
      <c r="I745" s="87"/>
      <c r="J745" s="87"/>
      <c r="K745" s="87"/>
      <c r="L745" s="88"/>
      <c r="M745" s="111"/>
      <c r="N745" s="111"/>
    </row>
    <row r="746" spans="9:14">
      <c r="I746" s="87"/>
      <c r="J746" s="87"/>
      <c r="K746" s="87"/>
      <c r="L746" s="88"/>
      <c r="M746" s="111"/>
      <c r="N746" s="111"/>
    </row>
    <row r="747" spans="9:14">
      <c r="I747" s="87"/>
      <c r="J747" s="87"/>
      <c r="K747" s="87"/>
      <c r="L747" s="88"/>
      <c r="M747" s="111"/>
      <c r="N747" s="111"/>
    </row>
    <row r="748" spans="9:14">
      <c r="I748" s="87"/>
      <c r="J748" s="87"/>
      <c r="K748" s="87"/>
      <c r="L748" s="88"/>
      <c r="M748" s="111"/>
      <c r="N748" s="111"/>
    </row>
    <row r="749" spans="9:14">
      <c r="I749" s="87"/>
      <c r="J749" s="87"/>
      <c r="K749" s="87"/>
      <c r="L749" s="88"/>
      <c r="M749" s="111"/>
      <c r="N749" s="111"/>
    </row>
    <row r="750" spans="9:14">
      <c r="I750" s="87"/>
      <c r="J750" s="87"/>
      <c r="K750" s="87"/>
      <c r="L750" s="88"/>
      <c r="M750" s="111"/>
      <c r="N750" s="111"/>
    </row>
    <row r="751" spans="9:14">
      <c r="I751" s="87"/>
      <c r="J751" s="87"/>
      <c r="K751" s="87"/>
      <c r="L751" s="88"/>
      <c r="M751" s="111"/>
      <c r="N751" s="111"/>
    </row>
    <row r="752" spans="9:14">
      <c r="I752" s="87"/>
      <c r="J752" s="87"/>
      <c r="K752" s="87"/>
      <c r="L752" s="88"/>
      <c r="M752" s="111"/>
      <c r="N752" s="111"/>
    </row>
    <row r="753" spans="9:14">
      <c r="I753" s="87"/>
      <c r="J753" s="87"/>
      <c r="K753" s="87"/>
      <c r="L753" s="88"/>
      <c r="M753" s="111"/>
      <c r="N753" s="111"/>
    </row>
    <row r="754" spans="9:14">
      <c r="I754" s="87"/>
      <c r="J754" s="87"/>
      <c r="K754" s="87"/>
      <c r="L754" s="88"/>
      <c r="M754" s="111"/>
      <c r="N754" s="111"/>
    </row>
    <row r="755" spans="9:14">
      <c r="I755" s="87"/>
      <c r="J755" s="87"/>
      <c r="K755" s="87"/>
      <c r="L755" s="88"/>
      <c r="M755" s="111"/>
      <c r="N755" s="111"/>
    </row>
    <row r="756" spans="9:14">
      <c r="I756" s="87"/>
      <c r="J756" s="87"/>
      <c r="K756" s="87"/>
      <c r="L756" s="88"/>
      <c r="M756" s="111"/>
      <c r="N756" s="111"/>
    </row>
    <row r="757" spans="9:14">
      <c r="I757" s="87"/>
      <c r="J757" s="87"/>
      <c r="K757" s="87"/>
      <c r="L757" s="88"/>
      <c r="M757" s="111"/>
      <c r="N757" s="111"/>
    </row>
    <row r="758" spans="9:14">
      <c r="I758" s="87"/>
      <c r="J758" s="87"/>
      <c r="K758" s="87"/>
      <c r="L758" s="88"/>
      <c r="M758" s="111"/>
      <c r="N758" s="111"/>
    </row>
    <row r="759" spans="9:14">
      <c r="I759" s="87"/>
      <c r="J759" s="87"/>
      <c r="K759" s="87"/>
      <c r="L759" s="88"/>
      <c r="M759" s="111"/>
      <c r="N759" s="111"/>
    </row>
    <row r="760" spans="9:14">
      <c r="I760" s="87"/>
      <c r="J760" s="87"/>
      <c r="K760" s="87"/>
      <c r="L760" s="88"/>
      <c r="M760" s="111"/>
      <c r="N760" s="111"/>
    </row>
    <row r="761" spans="9:14">
      <c r="I761" s="87"/>
      <c r="J761" s="87"/>
      <c r="K761" s="87"/>
      <c r="L761" s="88"/>
      <c r="M761" s="111"/>
      <c r="N761" s="111"/>
    </row>
    <row r="762" spans="9:14">
      <c r="I762" s="87"/>
      <c r="J762" s="87"/>
      <c r="K762" s="87"/>
      <c r="L762" s="88"/>
      <c r="M762" s="111"/>
      <c r="N762" s="111"/>
    </row>
    <row r="763" spans="9:14">
      <c r="I763" s="87"/>
      <c r="J763" s="87"/>
      <c r="K763" s="87"/>
      <c r="L763" s="88"/>
      <c r="M763" s="111"/>
      <c r="N763" s="111"/>
    </row>
    <row r="764" spans="9:14">
      <c r="I764" s="87"/>
      <c r="J764" s="87"/>
      <c r="K764" s="87"/>
      <c r="L764" s="88"/>
      <c r="M764" s="111"/>
      <c r="N764" s="111"/>
    </row>
    <row r="765" spans="9:14">
      <c r="I765" s="87"/>
      <c r="J765" s="87"/>
      <c r="K765" s="87"/>
      <c r="L765" s="88"/>
      <c r="M765" s="111"/>
      <c r="N765" s="111"/>
    </row>
    <row r="766" spans="9:14">
      <c r="I766" s="87"/>
      <c r="J766" s="87"/>
      <c r="K766" s="87"/>
      <c r="L766" s="88"/>
      <c r="M766" s="111"/>
      <c r="N766" s="111"/>
    </row>
    <row r="767" spans="9:14">
      <c r="I767" s="87"/>
      <c r="J767" s="87"/>
      <c r="K767" s="87"/>
      <c r="L767" s="88"/>
      <c r="M767" s="111"/>
      <c r="N767" s="111"/>
    </row>
    <row r="768" spans="9:14">
      <c r="I768" s="87"/>
      <c r="J768" s="87"/>
      <c r="K768" s="87"/>
      <c r="L768" s="88"/>
      <c r="M768" s="111"/>
      <c r="N768" s="111"/>
    </row>
    <row r="769" spans="9:14">
      <c r="I769" s="87"/>
      <c r="J769" s="87"/>
      <c r="K769" s="87"/>
      <c r="L769" s="88"/>
      <c r="M769" s="111"/>
      <c r="N769" s="111"/>
    </row>
    <row r="770" spans="9:14">
      <c r="I770" s="87"/>
      <c r="J770" s="87"/>
      <c r="K770" s="87"/>
      <c r="L770" s="88"/>
      <c r="M770" s="111"/>
      <c r="N770" s="111"/>
    </row>
    <row r="771" spans="9:14">
      <c r="I771" s="87"/>
      <c r="J771" s="87"/>
      <c r="K771" s="87"/>
      <c r="L771" s="88"/>
      <c r="M771" s="111"/>
      <c r="N771" s="111"/>
    </row>
    <row r="772" spans="9:14">
      <c r="I772" s="87"/>
      <c r="J772" s="87"/>
      <c r="K772" s="87"/>
      <c r="L772" s="88"/>
      <c r="M772" s="111"/>
      <c r="N772" s="111"/>
    </row>
    <row r="773" spans="9:14">
      <c r="I773" s="87"/>
      <c r="J773" s="87"/>
      <c r="K773" s="87"/>
      <c r="L773" s="88"/>
      <c r="M773" s="111"/>
      <c r="N773" s="111"/>
    </row>
    <row r="774" spans="9:14">
      <c r="I774" s="87"/>
      <c r="J774" s="87"/>
      <c r="K774" s="87"/>
      <c r="L774" s="88"/>
      <c r="M774" s="111"/>
      <c r="N774" s="111"/>
    </row>
    <row r="775" spans="9:14">
      <c r="I775" s="87"/>
      <c r="J775" s="87"/>
      <c r="K775" s="87"/>
      <c r="L775" s="88"/>
      <c r="M775" s="111"/>
      <c r="N775" s="111"/>
    </row>
    <row r="776" spans="9:14">
      <c r="I776" s="87"/>
      <c r="J776" s="87"/>
      <c r="K776" s="87"/>
      <c r="L776" s="88"/>
      <c r="M776" s="111"/>
      <c r="N776" s="111"/>
    </row>
    <row r="777" spans="9:14">
      <c r="I777" s="87"/>
      <c r="J777" s="87"/>
      <c r="K777" s="87"/>
      <c r="L777" s="88"/>
      <c r="M777" s="111"/>
      <c r="N777" s="111"/>
    </row>
    <row r="778" spans="9:14">
      <c r="I778" s="87"/>
      <c r="J778" s="87"/>
      <c r="K778" s="87"/>
      <c r="L778" s="88"/>
      <c r="M778" s="111"/>
      <c r="N778" s="111"/>
    </row>
    <row r="779" spans="9:14">
      <c r="I779" s="87"/>
      <c r="J779" s="87"/>
      <c r="K779" s="87"/>
      <c r="L779" s="88"/>
      <c r="M779" s="111"/>
      <c r="N779" s="111"/>
    </row>
    <row r="780" spans="9:14">
      <c r="I780" s="87"/>
      <c r="J780" s="87"/>
      <c r="K780" s="87"/>
      <c r="L780" s="88"/>
      <c r="M780" s="111"/>
      <c r="N780" s="111"/>
    </row>
    <row r="781" spans="9:14">
      <c r="I781" s="87"/>
      <c r="J781" s="87"/>
      <c r="K781" s="87"/>
      <c r="L781" s="88"/>
      <c r="M781" s="111"/>
      <c r="N781" s="111"/>
    </row>
    <row r="782" spans="9:14">
      <c r="I782" s="87"/>
      <c r="J782" s="87"/>
      <c r="K782" s="87"/>
      <c r="L782" s="88"/>
      <c r="M782" s="111"/>
      <c r="N782" s="111"/>
    </row>
    <row r="783" spans="9:14">
      <c r="I783" s="87"/>
      <c r="J783" s="87"/>
      <c r="K783" s="87"/>
      <c r="L783" s="88"/>
      <c r="M783" s="111"/>
      <c r="N783" s="111"/>
    </row>
    <row r="784" spans="9:14">
      <c r="I784" s="87"/>
      <c r="J784" s="87"/>
      <c r="K784" s="87"/>
      <c r="L784" s="88"/>
      <c r="M784" s="111"/>
      <c r="N784" s="111"/>
    </row>
    <row r="785" spans="9:14">
      <c r="I785" s="87"/>
      <c r="J785" s="87"/>
      <c r="K785" s="87"/>
      <c r="L785" s="88"/>
      <c r="M785" s="111"/>
      <c r="N785" s="111"/>
    </row>
    <row r="786" spans="9:14">
      <c r="I786" s="87"/>
      <c r="J786" s="87"/>
      <c r="K786" s="87"/>
      <c r="L786" s="88"/>
      <c r="M786" s="111"/>
      <c r="N786" s="111"/>
    </row>
    <row r="787" spans="9:14">
      <c r="I787" s="87"/>
      <c r="J787" s="87"/>
      <c r="K787" s="87"/>
      <c r="L787" s="88"/>
      <c r="M787" s="111"/>
      <c r="N787" s="111"/>
    </row>
    <row r="788" spans="9:14">
      <c r="I788" s="87"/>
      <c r="J788" s="87"/>
      <c r="K788" s="87"/>
      <c r="L788" s="88"/>
      <c r="M788" s="111"/>
      <c r="N788" s="111"/>
    </row>
    <row r="789" spans="9:14">
      <c r="I789" s="87"/>
      <c r="J789" s="87"/>
      <c r="K789" s="87"/>
      <c r="L789" s="88"/>
      <c r="M789" s="111"/>
      <c r="N789" s="111"/>
    </row>
    <row r="790" spans="9:14">
      <c r="I790" s="87"/>
      <c r="J790" s="87"/>
      <c r="K790" s="87"/>
      <c r="L790" s="88"/>
      <c r="M790" s="111"/>
      <c r="N790" s="111"/>
    </row>
    <row r="791" spans="9:14">
      <c r="I791" s="87"/>
      <c r="J791" s="87"/>
      <c r="K791" s="87"/>
      <c r="L791" s="88"/>
      <c r="M791" s="111"/>
      <c r="N791" s="111"/>
    </row>
    <row r="792" spans="9:14">
      <c r="I792" s="87"/>
      <c r="J792" s="87"/>
      <c r="K792" s="87"/>
      <c r="L792" s="88"/>
      <c r="M792" s="111"/>
      <c r="N792" s="111"/>
    </row>
    <row r="793" spans="9:14">
      <c r="I793" s="87"/>
      <c r="J793" s="87"/>
      <c r="K793" s="87"/>
      <c r="L793" s="88"/>
      <c r="M793" s="111"/>
      <c r="N793" s="111"/>
    </row>
    <row r="794" spans="9:14">
      <c r="I794" s="87"/>
      <c r="J794" s="87"/>
      <c r="K794" s="87"/>
      <c r="L794" s="88"/>
      <c r="M794" s="111"/>
      <c r="N794" s="111"/>
    </row>
    <row r="795" spans="9:14">
      <c r="I795" s="87"/>
      <c r="J795" s="87"/>
      <c r="K795" s="87"/>
      <c r="L795" s="88"/>
      <c r="M795" s="111"/>
      <c r="N795" s="111"/>
    </row>
    <row r="796" spans="9:14">
      <c r="I796" s="87"/>
      <c r="J796" s="87"/>
      <c r="K796" s="87"/>
      <c r="L796" s="88"/>
      <c r="M796" s="111"/>
      <c r="N796" s="111"/>
    </row>
    <row r="797" spans="9:14">
      <c r="I797" s="87"/>
      <c r="J797" s="87"/>
      <c r="K797" s="87"/>
      <c r="L797" s="88"/>
      <c r="M797" s="111"/>
      <c r="N797" s="111"/>
    </row>
    <row r="798" spans="9:14">
      <c r="I798" s="87"/>
      <c r="J798" s="87"/>
      <c r="K798" s="87"/>
      <c r="L798" s="88"/>
      <c r="M798" s="111"/>
      <c r="N798" s="111"/>
    </row>
    <row r="799" spans="9:14">
      <c r="I799" s="87"/>
      <c r="J799" s="87"/>
      <c r="K799" s="87"/>
      <c r="L799" s="88"/>
      <c r="M799" s="111"/>
      <c r="N799" s="111"/>
    </row>
    <row r="800" spans="9:14">
      <c r="I800" s="87"/>
      <c r="J800" s="87"/>
      <c r="K800" s="87"/>
      <c r="L800" s="88"/>
      <c r="M800" s="111"/>
      <c r="N800" s="111"/>
    </row>
    <row r="801" spans="9:14">
      <c r="I801" s="87"/>
      <c r="J801" s="87"/>
      <c r="K801" s="87"/>
      <c r="L801" s="88"/>
      <c r="M801" s="111"/>
      <c r="N801" s="111"/>
    </row>
    <row r="802" spans="9:14">
      <c r="I802" s="87"/>
      <c r="J802" s="87"/>
      <c r="K802" s="87"/>
      <c r="L802" s="88"/>
      <c r="M802" s="111"/>
      <c r="N802" s="111"/>
    </row>
    <row r="803" spans="9:14">
      <c r="I803" s="87"/>
      <c r="J803" s="87"/>
      <c r="K803" s="87"/>
      <c r="L803" s="88"/>
      <c r="M803" s="111"/>
      <c r="N803" s="111"/>
    </row>
    <row r="804" spans="9:14">
      <c r="I804" s="87"/>
      <c r="J804" s="87"/>
      <c r="K804" s="87"/>
      <c r="L804" s="88"/>
      <c r="M804" s="111"/>
      <c r="N804" s="111"/>
    </row>
    <row r="805" spans="9:14">
      <c r="I805" s="87"/>
      <c r="J805" s="87"/>
      <c r="K805" s="87"/>
      <c r="L805" s="88"/>
      <c r="M805" s="111"/>
      <c r="N805" s="111"/>
    </row>
    <row r="806" spans="9:14">
      <c r="I806" s="87"/>
      <c r="J806" s="87"/>
      <c r="K806" s="87"/>
      <c r="L806" s="88"/>
      <c r="M806" s="111"/>
      <c r="N806" s="111"/>
    </row>
    <row r="807" spans="9:14">
      <c r="I807" s="87"/>
      <c r="J807" s="87"/>
      <c r="K807" s="87"/>
      <c r="L807" s="88"/>
      <c r="M807" s="111"/>
      <c r="N807" s="111"/>
    </row>
    <row r="808" spans="9:14">
      <c r="I808" s="87"/>
      <c r="J808" s="87"/>
      <c r="K808" s="87"/>
      <c r="L808" s="88"/>
      <c r="M808" s="111"/>
      <c r="N808" s="111"/>
    </row>
    <row r="809" spans="9:14">
      <c r="I809" s="87"/>
      <c r="J809" s="87"/>
      <c r="K809" s="87"/>
      <c r="L809" s="88"/>
      <c r="M809" s="111"/>
      <c r="N809" s="111"/>
    </row>
    <row r="810" spans="9:14">
      <c r="I810" s="87"/>
      <c r="J810" s="87"/>
      <c r="K810" s="87"/>
      <c r="L810" s="88"/>
      <c r="M810" s="111"/>
      <c r="N810" s="111"/>
    </row>
    <row r="811" spans="9:14">
      <c r="I811" s="87"/>
      <c r="J811" s="87"/>
      <c r="K811" s="87"/>
      <c r="L811" s="88"/>
      <c r="M811" s="111"/>
      <c r="N811" s="111"/>
    </row>
    <row r="812" spans="9:14">
      <c r="I812" s="87"/>
      <c r="J812" s="87"/>
      <c r="K812" s="87"/>
      <c r="L812" s="88"/>
      <c r="M812" s="111"/>
      <c r="N812" s="111"/>
    </row>
    <row r="813" spans="9:14">
      <c r="I813" s="87"/>
      <c r="J813" s="87"/>
      <c r="K813" s="87"/>
      <c r="L813" s="88"/>
      <c r="M813" s="111"/>
      <c r="N813" s="111"/>
    </row>
    <row r="814" spans="9:14">
      <c r="I814" s="87"/>
      <c r="J814" s="87"/>
      <c r="K814" s="87"/>
      <c r="L814" s="88"/>
      <c r="M814" s="111"/>
      <c r="N814" s="111"/>
    </row>
    <row r="815" spans="9:14">
      <c r="I815" s="87"/>
      <c r="J815" s="87"/>
      <c r="K815" s="87"/>
      <c r="L815" s="88"/>
      <c r="M815" s="111"/>
      <c r="N815" s="111"/>
    </row>
    <row r="816" spans="9:14">
      <c r="I816" s="87"/>
      <c r="J816" s="87"/>
      <c r="K816" s="87"/>
      <c r="L816" s="88"/>
      <c r="M816" s="111"/>
      <c r="N816" s="111"/>
    </row>
    <row r="817" spans="9:14">
      <c r="I817" s="87"/>
      <c r="J817" s="87"/>
      <c r="K817" s="87"/>
      <c r="L817" s="88"/>
      <c r="M817" s="111"/>
      <c r="N817" s="111"/>
    </row>
    <row r="818" spans="9:14">
      <c r="I818" s="87"/>
      <c r="J818" s="87"/>
      <c r="K818" s="87"/>
      <c r="L818" s="88"/>
      <c r="M818" s="111"/>
      <c r="N818" s="111"/>
    </row>
    <row r="819" spans="9:14">
      <c r="I819" s="87"/>
      <c r="J819" s="87"/>
      <c r="K819" s="87"/>
      <c r="L819" s="88"/>
      <c r="M819" s="111"/>
      <c r="N819" s="111"/>
    </row>
    <row r="820" spans="9:14">
      <c r="I820" s="87"/>
      <c r="J820" s="87"/>
      <c r="K820" s="87"/>
      <c r="L820" s="88"/>
      <c r="M820" s="111"/>
      <c r="N820" s="111"/>
    </row>
    <row r="821" spans="9:14">
      <c r="I821" s="87"/>
      <c r="J821" s="87"/>
      <c r="K821" s="87"/>
      <c r="L821" s="88"/>
      <c r="M821" s="111"/>
      <c r="N821" s="111"/>
    </row>
    <row r="822" spans="9:14">
      <c r="I822" s="87"/>
      <c r="J822" s="87"/>
      <c r="K822" s="87"/>
      <c r="L822" s="88"/>
      <c r="M822" s="111"/>
      <c r="N822" s="111"/>
    </row>
    <row r="823" spans="9:14">
      <c r="I823" s="87"/>
      <c r="J823" s="87"/>
      <c r="K823" s="87"/>
      <c r="L823" s="88"/>
      <c r="M823" s="111"/>
      <c r="N823" s="111"/>
    </row>
    <row r="824" spans="9:14">
      <c r="I824" s="87"/>
      <c r="J824" s="87"/>
      <c r="K824" s="87"/>
      <c r="L824" s="88"/>
      <c r="M824" s="111"/>
      <c r="N824" s="111"/>
    </row>
    <row r="825" spans="9:14">
      <c r="I825" s="87"/>
      <c r="J825" s="87"/>
      <c r="K825" s="87"/>
      <c r="L825" s="88"/>
      <c r="M825" s="111"/>
      <c r="N825" s="111"/>
    </row>
    <row r="826" spans="9:14">
      <c r="I826" s="87"/>
      <c r="J826" s="87"/>
      <c r="K826" s="87"/>
      <c r="L826" s="88"/>
      <c r="M826" s="111"/>
      <c r="N826" s="111"/>
    </row>
    <row r="827" spans="9:14">
      <c r="I827" s="87"/>
      <c r="J827" s="87"/>
      <c r="K827" s="87"/>
      <c r="L827" s="88"/>
      <c r="M827" s="111"/>
      <c r="N827" s="111"/>
    </row>
    <row r="828" spans="9:14">
      <c r="I828" s="87"/>
      <c r="J828" s="87"/>
      <c r="K828" s="87"/>
      <c r="L828" s="88"/>
      <c r="M828" s="111"/>
      <c r="N828" s="111"/>
    </row>
    <row r="829" spans="9:14">
      <c r="I829" s="87"/>
      <c r="J829" s="87"/>
      <c r="K829" s="87"/>
      <c r="L829" s="88"/>
      <c r="M829" s="111"/>
      <c r="N829" s="111"/>
    </row>
    <row r="830" spans="9:14">
      <c r="I830" s="87"/>
      <c r="J830" s="87"/>
      <c r="K830" s="87"/>
      <c r="L830" s="88"/>
      <c r="M830" s="111"/>
      <c r="N830" s="111"/>
    </row>
    <row r="831" spans="9:14">
      <c r="I831" s="87"/>
      <c r="J831" s="87"/>
      <c r="K831" s="87"/>
      <c r="L831" s="88"/>
      <c r="M831" s="111"/>
      <c r="N831" s="111"/>
    </row>
    <row r="832" spans="9:14">
      <c r="I832" s="87"/>
      <c r="J832" s="87"/>
      <c r="K832" s="87"/>
      <c r="L832" s="88"/>
      <c r="M832" s="111"/>
      <c r="N832" s="111"/>
    </row>
    <row r="833" spans="9:14">
      <c r="I833" s="87"/>
      <c r="J833" s="87"/>
      <c r="K833" s="87"/>
      <c r="L833" s="88"/>
      <c r="M833" s="111"/>
      <c r="N833" s="111"/>
    </row>
    <row r="834" spans="9:14">
      <c r="I834" s="87"/>
      <c r="J834" s="87"/>
      <c r="K834" s="87"/>
      <c r="L834" s="88"/>
      <c r="M834" s="111"/>
      <c r="N834" s="111"/>
    </row>
    <row r="835" spans="9:14">
      <c r="I835" s="87"/>
      <c r="J835" s="87"/>
      <c r="K835" s="87"/>
      <c r="L835" s="88"/>
      <c r="M835" s="111"/>
      <c r="N835" s="111"/>
    </row>
    <row r="836" spans="9:14">
      <c r="I836" s="87"/>
      <c r="J836" s="87"/>
      <c r="K836" s="87"/>
      <c r="L836" s="88"/>
      <c r="M836" s="111"/>
      <c r="N836" s="111"/>
    </row>
    <row r="837" spans="9:14">
      <c r="I837" s="87"/>
      <c r="J837" s="87"/>
      <c r="K837" s="87"/>
      <c r="L837" s="88"/>
      <c r="M837" s="111"/>
      <c r="N837" s="111"/>
    </row>
    <row r="838" spans="9:14">
      <c r="I838" s="87"/>
      <c r="J838" s="87"/>
      <c r="K838" s="87"/>
      <c r="L838" s="88"/>
      <c r="M838" s="111"/>
      <c r="N838" s="111"/>
    </row>
    <row r="839" spans="9:14">
      <c r="I839" s="87"/>
      <c r="J839" s="87"/>
      <c r="K839" s="87"/>
      <c r="L839" s="88"/>
      <c r="M839" s="111"/>
      <c r="N839" s="111"/>
    </row>
    <row r="840" spans="9:14">
      <c r="I840" s="87"/>
      <c r="J840" s="87"/>
      <c r="K840" s="87"/>
      <c r="L840" s="88"/>
      <c r="M840" s="111"/>
      <c r="N840" s="111"/>
    </row>
    <row r="841" spans="9:14">
      <c r="I841" s="87"/>
      <c r="J841" s="87"/>
      <c r="K841" s="87"/>
      <c r="L841" s="88"/>
      <c r="M841" s="111"/>
      <c r="N841" s="111"/>
    </row>
    <row r="842" spans="9:14">
      <c r="I842" s="87"/>
      <c r="J842" s="87"/>
      <c r="K842" s="87"/>
      <c r="L842" s="88"/>
      <c r="M842" s="111"/>
      <c r="N842" s="111"/>
    </row>
    <row r="843" spans="9:14">
      <c r="I843" s="87"/>
      <c r="J843" s="87"/>
      <c r="K843" s="87"/>
      <c r="L843" s="88"/>
      <c r="M843" s="111"/>
      <c r="N843" s="111"/>
    </row>
    <row r="844" spans="9:14">
      <c r="I844" s="87"/>
      <c r="J844" s="87"/>
      <c r="K844" s="87"/>
      <c r="L844" s="88"/>
      <c r="M844" s="111"/>
      <c r="N844" s="111"/>
    </row>
    <row r="845" spans="9:14">
      <c r="I845" s="87"/>
      <c r="J845" s="87"/>
      <c r="K845" s="87"/>
      <c r="L845" s="88"/>
      <c r="M845" s="111"/>
      <c r="N845" s="111"/>
    </row>
    <row r="846" spans="9:14">
      <c r="I846" s="87"/>
      <c r="J846" s="87"/>
      <c r="K846" s="87"/>
      <c r="L846" s="88"/>
      <c r="M846" s="111"/>
      <c r="N846" s="111"/>
    </row>
    <row r="847" spans="9:14">
      <c r="I847" s="87"/>
      <c r="J847" s="87"/>
      <c r="K847" s="87"/>
      <c r="L847" s="88"/>
      <c r="M847" s="111"/>
      <c r="N847" s="111"/>
    </row>
    <row r="848" spans="9:14">
      <c r="I848" s="87"/>
      <c r="J848" s="87"/>
      <c r="K848" s="87"/>
      <c r="L848" s="88"/>
      <c r="M848" s="111"/>
      <c r="N848" s="111"/>
    </row>
    <row r="849" spans="9:14">
      <c r="I849" s="87"/>
      <c r="J849" s="87"/>
      <c r="K849" s="87"/>
      <c r="L849" s="88"/>
      <c r="M849" s="111"/>
      <c r="N849" s="111"/>
    </row>
    <row r="850" spans="9:14">
      <c r="I850" s="87"/>
      <c r="J850" s="87"/>
      <c r="K850" s="87"/>
      <c r="L850" s="88"/>
      <c r="M850" s="111"/>
      <c r="N850" s="111"/>
    </row>
    <row r="851" spans="9:14">
      <c r="I851" s="87"/>
      <c r="J851" s="87"/>
      <c r="K851" s="87"/>
      <c r="L851" s="88"/>
      <c r="M851" s="111"/>
      <c r="N851" s="111"/>
    </row>
    <row r="852" spans="9:14">
      <c r="I852" s="87"/>
      <c r="J852" s="87"/>
      <c r="K852" s="87"/>
      <c r="L852" s="88"/>
      <c r="M852" s="111"/>
      <c r="N852" s="111"/>
    </row>
    <row r="853" spans="9:14">
      <c r="I853" s="87"/>
      <c r="J853" s="87"/>
      <c r="K853" s="87"/>
      <c r="L853" s="88"/>
      <c r="M853" s="111"/>
      <c r="N853" s="111"/>
    </row>
    <row r="854" spans="9:14">
      <c r="I854" s="87"/>
      <c r="J854" s="87"/>
      <c r="K854" s="87"/>
      <c r="L854" s="88"/>
      <c r="M854" s="111"/>
      <c r="N854" s="111"/>
    </row>
    <row r="855" spans="9:14">
      <c r="I855" s="87"/>
      <c r="J855" s="87"/>
      <c r="K855" s="87"/>
      <c r="L855" s="88"/>
      <c r="M855" s="111"/>
      <c r="N855" s="111"/>
    </row>
    <row r="856" spans="9:14">
      <c r="I856" s="87"/>
      <c r="J856" s="87"/>
      <c r="K856" s="87"/>
      <c r="L856" s="88"/>
      <c r="M856" s="111"/>
      <c r="N856" s="111"/>
    </row>
    <row r="857" spans="9:14">
      <c r="I857" s="87"/>
      <c r="J857" s="87"/>
      <c r="K857" s="87"/>
      <c r="L857" s="88"/>
      <c r="M857" s="111"/>
      <c r="N857" s="111"/>
    </row>
    <row r="858" spans="9:14">
      <c r="I858" s="87"/>
      <c r="J858" s="87"/>
      <c r="K858" s="87"/>
      <c r="L858" s="88"/>
      <c r="M858" s="111"/>
      <c r="N858" s="111"/>
    </row>
    <row r="859" spans="9:14">
      <c r="I859" s="87"/>
      <c r="J859" s="87"/>
      <c r="K859" s="87"/>
      <c r="L859" s="88"/>
      <c r="M859" s="111"/>
      <c r="N859" s="111"/>
    </row>
    <row r="860" spans="9:14">
      <c r="I860" s="87"/>
      <c r="J860" s="87"/>
      <c r="K860" s="87"/>
      <c r="L860" s="88"/>
      <c r="M860" s="111"/>
      <c r="N860" s="111"/>
    </row>
    <row r="861" spans="9:14">
      <c r="I861" s="87"/>
      <c r="J861" s="87"/>
      <c r="K861" s="87"/>
      <c r="L861" s="88"/>
      <c r="M861" s="111"/>
      <c r="N861" s="111"/>
    </row>
    <row r="862" spans="9:14">
      <c r="I862" s="87"/>
      <c r="J862" s="87"/>
      <c r="K862" s="87"/>
      <c r="L862" s="88"/>
      <c r="M862" s="111"/>
      <c r="N862" s="111"/>
    </row>
    <row r="863" spans="9:14">
      <c r="I863" s="87"/>
      <c r="J863" s="87"/>
      <c r="K863" s="87"/>
      <c r="L863" s="88"/>
      <c r="M863" s="111"/>
      <c r="N863" s="111"/>
    </row>
    <row r="864" spans="9:14">
      <c r="I864" s="87"/>
      <c r="J864" s="87"/>
      <c r="K864" s="87"/>
      <c r="L864" s="88"/>
      <c r="M864" s="111"/>
      <c r="N864" s="111"/>
    </row>
    <row r="865" spans="9:14">
      <c r="I865" s="87"/>
      <c r="J865" s="87"/>
      <c r="K865" s="87"/>
      <c r="L865" s="88"/>
      <c r="M865" s="111"/>
      <c r="N865" s="111"/>
    </row>
    <row r="866" spans="9:14">
      <c r="I866" s="87"/>
      <c r="J866" s="87"/>
      <c r="K866" s="87"/>
      <c r="L866" s="88"/>
      <c r="M866" s="111"/>
      <c r="N866" s="111"/>
    </row>
    <row r="867" spans="9:14">
      <c r="I867" s="87"/>
      <c r="J867" s="87"/>
      <c r="K867" s="87"/>
      <c r="L867" s="88"/>
      <c r="M867" s="111"/>
      <c r="N867" s="111"/>
    </row>
    <row r="868" spans="9:14">
      <c r="I868" s="87"/>
      <c r="J868" s="87"/>
      <c r="K868" s="87"/>
      <c r="L868" s="88"/>
      <c r="M868" s="111"/>
      <c r="N868" s="111"/>
    </row>
    <row r="869" spans="9:14">
      <c r="I869" s="87"/>
      <c r="J869" s="87"/>
      <c r="K869" s="87"/>
      <c r="L869" s="88"/>
      <c r="M869" s="111"/>
      <c r="N869" s="111"/>
    </row>
    <row r="870" spans="9:14">
      <c r="I870" s="87"/>
      <c r="J870" s="87"/>
      <c r="K870" s="87"/>
      <c r="L870" s="88"/>
      <c r="M870" s="111"/>
      <c r="N870" s="111"/>
    </row>
    <row r="871" spans="9:14">
      <c r="I871" s="87"/>
      <c r="J871" s="87"/>
      <c r="K871" s="87"/>
      <c r="L871" s="88"/>
      <c r="M871" s="111"/>
      <c r="N871" s="111"/>
    </row>
    <row r="872" spans="9:14">
      <c r="I872" s="87"/>
      <c r="J872" s="87"/>
      <c r="K872" s="87"/>
      <c r="L872" s="88"/>
      <c r="M872" s="111"/>
      <c r="N872" s="111"/>
    </row>
    <row r="873" spans="9:14">
      <c r="I873" s="87"/>
      <c r="J873" s="87"/>
      <c r="K873" s="87"/>
      <c r="L873" s="88"/>
      <c r="M873" s="111"/>
      <c r="N873" s="111"/>
    </row>
    <row r="874" spans="9:14">
      <c r="I874" s="87"/>
      <c r="J874" s="87"/>
      <c r="K874" s="87"/>
      <c r="L874" s="88"/>
      <c r="M874" s="111"/>
      <c r="N874" s="111"/>
    </row>
    <row r="875" spans="9:14">
      <c r="I875" s="87"/>
      <c r="J875" s="87"/>
      <c r="K875" s="87"/>
      <c r="L875" s="88"/>
      <c r="M875" s="111"/>
      <c r="N875" s="111"/>
    </row>
    <row r="876" spans="9:14">
      <c r="I876" s="87"/>
      <c r="J876" s="87"/>
      <c r="K876" s="87"/>
      <c r="L876" s="88"/>
      <c r="M876" s="111"/>
      <c r="N876" s="111"/>
    </row>
    <row r="877" spans="9:14">
      <c r="I877" s="87"/>
      <c r="J877" s="87"/>
      <c r="K877" s="87"/>
      <c r="L877" s="88"/>
      <c r="M877" s="111"/>
      <c r="N877" s="111"/>
    </row>
    <row r="878" spans="9:14">
      <c r="I878" s="87"/>
      <c r="J878" s="87"/>
      <c r="K878" s="87"/>
      <c r="L878" s="88"/>
      <c r="M878" s="111"/>
      <c r="N878" s="111"/>
    </row>
    <row r="879" spans="9:14">
      <c r="I879" s="87"/>
      <c r="J879" s="87"/>
      <c r="K879" s="87"/>
      <c r="L879" s="88"/>
      <c r="M879" s="111"/>
      <c r="N879" s="111"/>
    </row>
    <row r="880" spans="9:14">
      <c r="I880" s="87"/>
      <c r="J880" s="87"/>
      <c r="K880" s="87"/>
      <c r="L880" s="88"/>
      <c r="M880" s="111"/>
      <c r="N880" s="111"/>
    </row>
    <row r="881" spans="9:14">
      <c r="I881" s="87"/>
      <c r="J881" s="87"/>
      <c r="K881" s="87"/>
      <c r="L881" s="88"/>
      <c r="M881" s="111"/>
      <c r="N881" s="111"/>
    </row>
    <row r="882" spans="9:14">
      <c r="I882" s="87"/>
      <c r="J882" s="87"/>
      <c r="K882" s="87"/>
      <c r="L882" s="88"/>
      <c r="M882" s="111"/>
      <c r="N882" s="111"/>
    </row>
    <row r="883" spans="9:14">
      <c r="I883" s="87"/>
      <c r="J883" s="87"/>
      <c r="K883" s="87"/>
      <c r="L883" s="88"/>
      <c r="M883" s="111"/>
      <c r="N883" s="111"/>
    </row>
    <row r="884" spans="9:14">
      <c r="I884" s="87"/>
      <c r="J884" s="87"/>
      <c r="K884" s="87"/>
      <c r="L884" s="88"/>
      <c r="M884" s="111"/>
      <c r="N884" s="111"/>
    </row>
    <row r="885" spans="9:14">
      <c r="I885" s="87"/>
      <c r="J885" s="87"/>
      <c r="K885" s="87"/>
      <c r="L885" s="88"/>
      <c r="M885" s="111"/>
      <c r="N885" s="111"/>
    </row>
    <row r="886" spans="9:14">
      <c r="I886" s="87"/>
      <c r="J886" s="87"/>
      <c r="K886" s="87"/>
      <c r="L886" s="88"/>
      <c r="M886" s="111"/>
      <c r="N886" s="111"/>
    </row>
    <row r="887" spans="9:14">
      <c r="I887" s="87"/>
      <c r="J887" s="87"/>
      <c r="K887" s="87"/>
      <c r="L887" s="88"/>
      <c r="M887" s="111"/>
      <c r="N887" s="111"/>
    </row>
    <row r="888" spans="9:14">
      <c r="I888" s="87"/>
      <c r="J888" s="87"/>
      <c r="K888" s="87"/>
      <c r="L888" s="88"/>
      <c r="M888" s="111"/>
      <c r="N888" s="111"/>
    </row>
    <row r="889" spans="9:14">
      <c r="I889" s="87"/>
      <c r="J889" s="87"/>
      <c r="K889" s="87"/>
      <c r="L889" s="88"/>
      <c r="M889" s="111"/>
      <c r="N889" s="111"/>
    </row>
    <row r="890" spans="9:14">
      <c r="I890" s="87"/>
      <c r="J890" s="87"/>
      <c r="K890" s="87"/>
      <c r="L890" s="88"/>
      <c r="M890" s="111"/>
      <c r="N890" s="111"/>
    </row>
    <row r="891" spans="9:14">
      <c r="I891" s="87"/>
      <c r="J891" s="87"/>
      <c r="K891" s="87"/>
      <c r="L891" s="88"/>
      <c r="M891" s="111"/>
      <c r="N891" s="111"/>
    </row>
    <row r="892" spans="9:14">
      <c r="I892" s="87"/>
      <c r="J892" s="87"/>
      <c r="K892" s="87"/>
      <c r="L892" s="88"/>
      <c r="M892" s="111"/>
      <c r="N892" s="111"/>
    </row>
    <row r="893" spans="9:14">
      <c r="I893" s="87"/>
      <c r="J893" s="87"/>
      <c r="K893" s="87"/>
      <c r="L893" s="88"/>
      <c r="M893" s="111"/>
      <c r="N893" s="111"/>
    </row>
    <row r="894" spans="9:14">
      <c r="I894" s="87"/>
      <c r="J894" s="87"/>
      <c r="K894" s="87"/>
      <c r="L894" s="88"/>
      <c r="M894" s="111"/>
      <c r="N894" s="111"/>
    </row>
    <row r="895" spans="9:14">
      <c r="I895" s="87"/>
      <c r="J895" s="87"/>
      <c r="K895" s="87"/>
      <c r="L895" s="88"/>
      <c r="M895" s="111"/>
      <c r="N895" s="111"/>
    </row>
    <row r="896" spans="9:14">
      <c r="I896" s="87"/>
      <c r="J896" s="87"/>
      <c r="K896" s="87"/>
      <c r="L896" s="88"/>
      <c r="M896" s="111"/>
      <c r="N896" s="111"/>
    </row>
    <row r="897" spans="9:14">
      <c r="I897" s="87"/>
      <c r="J897" s="87"/>
      <c r="K897" s="87"/>
      <c r="L897" s="88"/>
      <c r="M897" s="111"/>
      <c r="N897" s="111"/>
    </row>
    <row r="898" spans="9:14">
      <c r="I898" s="87"/>
      <c r="J898" s="87"/>
      <c r="K898" s="87"/>
      <c r="L898" s="88"/>
      <c r="M898" s="111"/>
      <c r="N898" s="111"/>
    </row>
    <row r="899" spans="9:14">
      <c r="I899" s="87"/>
      <c r="J899" s="87"/>
      <c r="K899" s="87"/>
      <c r="L899" s="88"/>
      <c r="M899" s="111"/>
      <c r="N899" s="111"/>
    </row>
    <row r="900" spans="9:14">
      <c r="I900" s="87"/>
      <c r="J900" s="87"/>
      <c r="K900" s="87"/>
      <c r="L900" s="88"/>
      <c r="M900" s="111"/>
      <c r="N900" s="111"/>
    </row>
    <row r="901" spans="9:14">
      <c r="I901" s="87"/>
      <c r="J901" s="87"/>
      <c r="K901" s="87"/>
      <c r="L901" s="88"/>
      <c r="M901" s="111"/>
      <c r="N901" s="111"/>
    </row>
    <row r="902" spans="9:14">
      <c r="I902" s="87"/>
      <c r="J902" s="87"/>
      <c r="K902" s="87"/>
      <c r="L902" s="88"/>
      <c r="M902" s="111"/>
      <c r="N902" s="111"/>
    </row>
    <row r="903" spans="9:14">
      <c r="I903" s="87"/>
      <c r="J903" s="87"/>
      <c r="K903" s="87"/>
      <c r="L903" s="88"/>
      <c r="M903" s="111"/>
      <c r="N903" s="111"/>
    </row>
    <row r="904" spans="9:14">
      <c r="I904" s="87"/>
      <c r="J904" s="87"/>
      <c r="K904" s="87"/>
      <c r="L904" s="88"/>
      <c r="M904" s="111"/>
      <c r="N904" s="111"/>
    </row>
    <row r="905" spans="9:14">
      <c r="I905" s="87"/>
      <c r="J905" s="87"/>
      <c r="K905" s="87"/>
      <c r="L905" s="88"/>
      <c r="M905" s="111"/>
      <c r="N905" s="111"/>
    </row>
    <row r="906" spans="9:14">
      <c r="I906" s="87"/>
      <c r="J906" s="87"/>
      <c r="K906" s="87"/>
      <c r="L906" s="88"/>
      <c r="M906" s="111"/>
      <c r="N906" s="111"/>
    </row>
    <row r="907" spans="9:14">
      <c r="I907" s="87"/>
      <c r="J907" s="87"/>
      <c r="K907" s="87"/>
      <c r="L907" s="88"/>
      <c r="M907" s="111"/>
      <c r="N907" s="111"/>
    </row>
    <row r="908" spans="9:14">
      <c r="I908" s="87"/>
      <c r="J908" s="87"/>
      <c r="K908" s="87"/>
      <c r="L908" s="88"/>
      <c r="M908" s="111"/>
      <c r="N908" s="111"/>
    </row>
    <row r="909" spans="9:14">
      <c r="I909" s="87"/>
      <c r="J909" s="87"/>
      <c r="K909" s="87"/>
      <c r="L909" s="88"/>
      <c r="M909" s="111"/>
      <c r="N909" s="111"/>
    </row>
    <row r="910" spans="9:14">
      <c r="I910" s="87"/>
      <c r="J910" s="87"/>
      <c r="K910" s="87"/>
      <c r="L910" s="88"/>
      <c r="M910" s="111"/>
      <c r="N910" s="111"/>
    </row>
    <row r="911" spans="9:14">
      <c r="I911" s="87"/>
      <c r="J911" s="87"/>
      <c r="K911" s="87"/>
      <c r="L911" s="88"/>
      <c r="M911" s="111"/>
      <c r="N911" s="111"/>
    </row>
    <row r="912" spans="9:14">
      <c r="I912" s="87"/>
      <c r="J912" s="87"/>
      <c r="K912" s="87"/>
      <c r="L912" s="88"/>
      <c r="M912" s="111"/>
      <c r="N912" s="111"/>
    </row>
    <row r="913" spans="9:14">
      <c r="I913" s="87"/>
      <c r="J913" s="87"/>
      <c r="K913" s="87"/>
      <c r="L913" s="88"/>
      <c r="M913" s="111"/>
      <c r="N913" s="111"/>
    </row>
    <row r="914" spans="9:14">
      <c r="I914" s="87"/>
      <c r="J914" s="87"/>
      <c r="K914" s="87"/>
      <c r="L914" s="88"/>
      <c r="M914" s="111"/>
      <c r="N914" s="111"/>
    </row>
    <row r="915" spans="9:14">
      <c r="I915" s="87"/>
      <c r="J915" s="87"/>
      <c r="K915" s="87"/>
      <c r="L915" s="88"/>
      <c r="M915" s="111"/>
      <c r="N915" s="111"/>
    </row>
    <row r="916" spans="9:14">
      <c r="I916" s="87"/>
      <c r="J916" s="87"/>
      <c r="K916" s="87"/>
      <c r="L916" s="88"/>
      <c r="M916" s="111"/>
      <c r="N916" s="111"/>
    </row>
    <row r="917" spans="9:14">
      <c r="I917" s="87"/>
      <c r="J917" s="87"/>
      <c r="K917" s="87"/>
      <c r="L917" s="88"/>
      <c r="M917" s="111"/>
      <c r="N917" s="111"/>
    </row>
    <row r="918" spans="9:14">
      <c r="I918" s="87"/>
      <c r="J918" s="87"/>
      <c r="K918" s="87"/>
      <c r="L918" s="88"/>
      <c r="M918" s="111"/>
      <c r="N918" s="111"/>
    </row>
    <row r="919" spans="9:14">
      <c r="I919" s="87"/>
      <c r="J919" s="87"/>
      <c r="K919" s="87"/>
      <c r="L919" s="88"/>
      <c r="M919" s="111"/>
      <c r="N919" s="111"/>
    </row>
    <row r="920" spans="9:14">
      <c r="I920" s="87"/>
      <c r="J920" s="87"/>
      <c r="K920" s="87"/>
      <c r="L920" s="88"/>
      <c r="M920" s="111"/>
      <c r="N920" s="111"/>
    </row>
    <row r="921" spans="9:14">
      <c r="I921" s="87"/>
      <c r="J921" s="87"/>
      <c r="K921" s="87"/>
      <c r="L921" s="88"/>
      <c r="M921" s="111"/>
      <c r="N921" s="111"/>
    </row>
    <row r="922" spans="9:14">
      <c r="I922" s="87"/>
      <c r="J922" s="87"/>
      <c r="K922" s="87"/>
      <c r="L922" s="88"/>
      <c r="M922" s="111"/>
      <c r="N922" s="111"/>
    </row>
    <row r="923" spans="9:14">
      <c r="I923" s="87"/>
      <c r="J923" s="87"/>
      <c r="K923" s="87"/>
      <c r="L923" s="88"/>
      <c r="M923" s="111"/>
      <c r="N923" s="111"/>
    </row>
    <row r="924" spans="9:14">
      <c r="I924" s="87"/>
      <c r="J924" s="87"/>
      <c r="K924" s="87"/>
      <c r="L924" s="88"/>
      <c r="M924" s="111"/>
      <c r="N924" s="111"/>
    </row>
    <row r="925" spans="9:14">
      <c r="I925" s="87"/>
      <c r="J925" s="87"/>
      <c r="K925" s="87"/>
      <c r="L925" s="88"/>
      <c r="M925" s="111"/>
      <c r="N925" s="111"/>
    </row>
    <row r="926" spans="9:14">
      <c r="I926" s="87"/>
      <c r="J926" s="87"/>
      <c r="K926" s="87"/>
      <c r="L926" s="88"/>
      <c r="M926" s="111"/>
      <c r="N926" s="111"/>
    </row>
    <row r="927" spans="9:14">
      <c r="I927" s="87"/>
      <c r="J927" s="87"/>
      <c r="K927" s="87"/>
      <c r="L927" s="88"/>
      <c r="M927" s="111"/>
      <c r="N927" s="111"/>
    </row>
    <row r="928" spans="9:14">
      <c r="I928" s="87"/>
      <c r="J928" s="87"/>
      <c r="K928" s="87"/>
      <c r="L928" s="88"/>
      <c r="M928" s="111"/>
      <c r="N928" s="111"/>
    </row>
    <row r="929" spans="9:14">
      <c r="I929" s="87"/>
      <c r="J929" s="87"/>
      <c r="K929" s="87"/>
      <c r="L929" s="88"/>
      <c r="M929" s="111"/>
      <c r="N929" s="111"/>
    </row>
    <row r="930" spans="9:14">
      <c r="I930" s="87"/>
      <c r="J930" s="87"/>
      <c r="K930" s="87"/>
      <c r="L930" s="88"/>
      <c r="M930" s="111"/>
      <c r="N930" s="111"/>
    </row>
    <row r="931" spans="9:14">
      <c r="I931" s="87"/>
      <c r="J931" s="87"/>
      <c r="K931" s="87"/>
      <c r="L931" s="88"/>
      <c r="M931" s="111"/>
      <c r="N931" s="111"/>
    </row>
    <row r="932" spans="9:14">
      <c r="I932" s="87"/>
      <c r="J932" s="87"/>
      <c r="K932" s="87"/>
      <c r="L932" s="88"/>
      <c r="M932" s="111"/>
      <c r="N932" s="111"/>
    </row>
    <row r="933" spans="9:14">
      <c r="I933" s="87"/>
      <c r="J933" s="87"/>
      <c r="K933" s="87"/>
      <c r="L933" s="88"/>
      <c r="M933" s="111"/>
      <c r="N933" s="111"/>
    </row>
    <row r="934" spans="9:14">
      <c r="I934" s="87"/>
      <c r="J934" s="87"/>
      <c r="K934" s="87"/>
      <c r="L934" s="88"/>
      <c r="M934" s="111"/>
      <c r="N934" s="111"/>
    </row>
    <row r="935" spans="9:14">
      <c r="I935" s="87"/>
      <c r="J935" s="87"/>
      <c r="K935" s="87"/>
      <c r="L935" s="88"/>
      <c r="M935" s="111"/>
      <c r="N935" s="111"/>
    </row>
    <row r="936" spans="9:14">
      <c r="I936" s="87"/>
      <c r="J936" s="87"/>
      <c r="K936" s="87"/>
      <c r="L936" s="88"/>
      <c r="M936" s="111"/>
      <c r="N936" s="111"/>
    </row>
    <row r="937" spans="9:14">
      <c r="I937" s="87"/>
      <c r="J937" s="87"/>
      <c r="K937" s="87"/>
      <c r="L937" s="88"/>
      <c r="M937" s="111"/>
      <c r="N937" s="111"/>
    </row>
    <row r="938" spans="9:14">
      <c r="I938" s="87"/>
      <c r="J938" s="87"/>
      <c r="K938" s="87"/>
      <c r="L938" s="88"/>
      <c r="M938" s="111"/>
      <c r="N938" s="111"/>
    </row>
    <row r="939" spans="9:14">
      <c r="I939" s="87"/>
      <c r="J939" s="87"/>
      <c r="K939" s="87"/>
      <c r="L939" s="88"/>
      <c r="M939" s="111"/>
      <c r="N939" s="111"/>
    </row>
    <row r="940" spans="9:14">
      <c r="I940" s="87"/>
      <c r="J940" s="87"/>
      <c r="K940" s="87"/>
      <c r="L940" s="88"/>
      <c r="M940" s="111"/>
      <c r="N940" s="111"/>
    </row>
    <row r="941" spans="9:14">
      <c r="I941" s="87"/>
      <c r="J941" s="87"/>
      <c r="K941" s="87"/>
      <c r="L941" s="88"/>
      <c r="M941" s="111"/>
      <c r="N941" s="111"/>
    </row>
    <row r="942" spans="9:14">
      <c r="I942" s="87"/>
      <c r="J942" s="87"/>
      <c r="K942" s="87"/>
      <c r="L942" s="88"/>
      <c r="M942" s="111"/>
      <c r="N942" s="111"/>
    </row>
    <row r="943" spans="9:14">
      <c r="I943" s="87"/>
      <c r="J943" s="87"/>
      <c r="K943" s="87"/>
      <c r="L943" s="88"/>
      <c r="M943" s="111"/>
      <c r="N943" s="111"/>
    </row>
    <row r="944" spans="9:14">
      <c r="I944" s="87"/>
      <c r="J944" s="87"/>
      <c r="K944" s="87"/>
      <c r="L944" s="88"/>
      <c r="M944" s="111"/>
      <c r="N944" s="111"/>
    </row>
    <row r="945" spans="9:14">
      <c r="I945" s="87"/>
      <c r="J945" s="87"/>
      <c r="K945" s="87"/>
      <c r="L945" s="88"/>
      <c r="M945" s="111"/>
      <c r="N945" s="111"/>
    </row>
    <row r="946" spans="9:14">
      <c r="I946" s="87"/>
      <c r="J946" s="87"/>
      <c r="K946" s="87"/>
      <c r="L946" s="88"/>
      <c r="M946" s="111"/>
      <c r="N946" s="111"/>
    </row>
    <row r="947" spans="9:14">
      <c r="I947" s="87"/>
      <c r="J947" s="87"/>
      <c r="K947" s="87"/>
      <c r="L947" s="88"/>
      <c r="M947" s="111"/>
      <c r="N947" s="111"/>
    </row>
    <row r="948" spans="9:14">
      <c r="I948" s="87"/>
      <c r="J948" s="87"/>
      <c r="K948" s="87"/>
      <c r="L948" s="88"/>
      <c r="M948" s="111"/>
      <c r="N948" s="111"/>
    </row>
    <row r="949" spans="9:14">
      <c r="I949" s="87"/>
      <c r="J949" s="87"/>
      <c r="K949" s="87"/>
      <c r="L949" s="88"/>
      <c r="M949" s="111"/>
      <c r="N949" s="111"/>
    </row>
    <row r="950" spans="9:14">
      <c r="I950" s="87"/>
      <c r="J950" s="87"/>
      <c r="K950" s="87"/>
      <c r="L950" s="88"/>
      <c r="M950" s="111"/>
      <c r="N950" s="111"/>
    </row>
    <row r="951" spans="9:14">
      <c r="I951" s="87"/>
      <c r="J951" s="87"/>
      <c r="K951" s="87"/>
      <c r="L951" s="88"/>
      <c r="M951" s="111"/>
      <c r="N951" s="111"/>
    </row>
    <row r="952" spans="9:14">
      <c r="I952" s="87"/>
      <c r="J952" s="87"/>
      <c r="K952" s="87"/>
      <c r="L952" s="88"/>
      <c r="M952" s="111"/>
      <c r="N952" s="111"/>
    </row>
    <row r="953" spans="9:14">
      <c r="I953" s="87"/>
      <c r="J953" s="87"/>
      <c r="K953" s="87"/>
      <c r="L953" s="88"/>
      <c r="M953" s="111"/>
      <c r="N953" s="111"/>
    </row>
    <row r="954" spans="9:14">
      <c r="I954" s="87"/>
      <c r="J954" s="87"/>
      <c r="K954" s="87"/>
      <c r="L954" s="88"/>
      <c r="M954" s="111"/>
      <c r="N954" s="111"/>
    </row>
    <row r="955" spans="9:14">
      <c r="I955" s="87"/>
      <c r="J955" s="87"/>
      <c r="K955" s="87"/>
      <c r="L955" s="88"/>
      <c r="M955" s="111"/>
      <c r="N955" s="111"/>
    </row>
    <row r="956" spans="9:14">
      <c r="I956" s="87"/>
      <c r="J956" s="87"/>
      <c r="K956" s="87"/>
      <c r="L956" s="88"/>
      <c r="M956" s="111"/>
      <c r="N956" s="111"/>
    </row>
    <row r="957" spans="9:14">
      <c r="I957" s="87"/>
      <c r="J957" s="87"/>
      <c r="K957" s="87"/>
      <c r="L957" s="88"/>
      <c r="M957" s="111"/>
      <c r="N957" s="111"/>
    </row>
    <row r="958" spans="9:14">
      <c r="I958" s="87"/>
      <c r="J958" s="87"/>
      <c r="K958" s="87"/>
      <c r="L958" s="88"/>
      <c r="M958" s="111"/>
      <c r="N958" s="111"/>
    </row>
    <row r="959" spans="9:14">
      <c r="I959" s="87"/>
      <c r="J959" s="87"/>
      <c r="K959" s="87"/>
      <c r="L959" s="88"/>
      <c r="M959" s="111"/>
      <c r="N959" s="111"/>
    </row>
    <row r="960" spans="9:14">
      <c r="I960" s="87"/>
      <c r="J960" s="87"/>
      <c r="K960" s="87"/>
      <c r="L960" s="88"/>
      <c r="M960" s="111"/>
      <c r="N960" s="111"/>
    </row>
    <row r="961" spans="9:14">
      <c r="I961" s="87"/>
      <c r="J961" s="87"/>
      <c r="K961" s="87"/>
      <c r="L961" s="88"/>
      <c r="M961" s="111"/>
      <c r="N961" s="111"/>
    </row>
    <row r="962" spans="9:14">
      <c r="I962" s="87"/>
      <c r="J962" s="87"/>
      <c r="K962" s="87"/>
      <c r="L962" s="88"/>
      <c r="M962" s="111"/>
      <c r="N962" s="111"/>
    </row>
    <row r="963" spans="9:14">
      <c r="I963" s="87"/>
      <c r="J963" s="87"/>
      <c r="K963" s="87"/>
      <c r="L963" s="88"/>
      <c r="M963" s="111"/>
      <c r="N963" s="111"/>
    </row>
    <row r="964" spans="9:14">
      <c r="I964" s="87"/>
      <c r="J964" s="87"/>
      <c r="K964" s="87"/>
      <c r="L964" s="88"/>
      <c r="M964" s="111"/>
      <c r="N964" s="111"/>
    </row>
    <row r="965" spans="9:14">
      <c r="I965" s="87"/>
      <c r="J965" s="87"/>
      <c r="K965" s="87"/>
      <c r="L965" s="88"/>
      <c r="M965" s="111"/>
      <c r="N965" s="111"/>
    </row>
    <row r="966" spans="9:14">
      <c r="I966" s="87"/>
      <c r="J966" s="87"/>
      <c r="K966" s="87"/>
      <c r="L966" s="88"/>
      <c r="M966" s="111"/>
      <c r="N966" s="111"/>
    </row>
    <row r="967" spans="9:14">
      <c r="I967" s="87"/>
      <c r="J967" s="87"/>
      <c r="K967" s="87"/>
      <c r="L967" s="88"/>
      <c r="M967" s="111"/>
      <c r="N967" s="111"/>
    </row>
    <row r="968" spans="9:14">
      <c r="I968" s="87"/>
      <c r="J968" s="87"/>
      <c r="K968" s="87"/>
      <c r="L968" s="88"/>
      <c r="M968" s="111"/>
      <c r="N968" s="111"/>
    </row>
    <row r="969" spans="9:14">
      <c r="I969" s="87"/>
      <c r="J969" s="87"/>
      <c r="K969" s="87"/>
      <c r="L969" s="88"/>
      <c r="M969" s="111"/>
      <c r="N969" s="111"/>
    </row>
    <row r="970" spans="9:14">
      <c r="I970" s="87"/>
      <c r="J970" s="87"/>
      <c r="K970" s="87"/>
      <c r="L970" s="88"/>
      <c r="M970" s="111"/>
      <c r="N970" s="111"/>
    </row>
    <row r="971" spans="9:14">
      <c r="I971" s="87"/>
      <c r="J971" s="87"/>
      <c r="K971" s="87"/>
      <c r="L971" s="88"/>
      <c r="M971" s="111"/>
      <c r="N971" s="111"/>
    </row>
    <row r="972" spans="9:14">
      <c r="I972" s="87"/>
      <c r="J972" s="87"/>
      <c r="K972" s="87"/>
      <c r="L972" s="88"/>
      <c r="M972" s="111"/>
      <c r="N972" s="111"/>
    </row>
    <row r="973" spans="9:14">
      <c r="I973" s="87"/>
      <c r="J973" s="87"/>
      <c r="K973" s="87"/>
      <c r="L973" s="88"/>
      <c r="M973" s="111"/>
      <c r="N973" s="111"/>
    </row>
    <row r="974" spans="9:14">
      <c r="I974" s="87"/>
      <c r="J974" s="87"/>
      <c r="K974" s="87"/>
      <c r="L974" s="88"/>
      <c r="M974" s="111"/>
      <c r="N974" s="111"/>
    </row>
    <row r="975" spans="9:14">
      <c r="I975" s="87"/>
      <c r="J975" s="87"/>
      <c r="K975" s="87"/>
      <c r="L975" s="88"/>
      <c r="M975" s="111"/>
      <c r="N975" s="111"/>
    </row>
    <row r="976" spans="9:14">
      <c r="I976" s="87"/>
      <c r="J976" s="87"/>
      <c r="K976" s="87"/>
      <c r="L976" s="88"/>
      <c r="M976" s="111"/>
      <c r="N976" s="111"/>
    </row>
    <row r="977" spans="9:14">
      <c r="I977" s="87"/>
      <c r="J977" s="87"/>
      <c r="K977" s="87"/>
      <c r="L977" s="88"/>
      <c r="M977" s="111"/>
      <c r="N977" s="111"/>
    </row>
    <row r="978" spans="9:14">
      <c r="I978" s="87"/>
      <c r="J978" s="87"/>
      <c r="K978" s="87"/>
      <c r="L978" s="88"/>
      <c r="M978" s="111"/>
      <c r="N978" s="111"/>
    </row>
    <row r="979" spans="9:14">
      <c r="I979" s="87"/>
      <c r="J979" s="87"/>
      <c r="K979" s="87"/>
      <c r="L979" s="88"/>
      <c r="M979" s="111"/>
      <c r="N979" s="111"/>
    </row>
    <row r="980" spans="9:14">
      <c r="I980" s="87"/>
      <c r="J980" s="87"/>
      <c r="K980" s="87"/>
      <c r="L980" s="88"/>
      <c r="M980" s="111"/>
      <c r="N980" s="111"/>
    </row>
    <row r="981" spans="9:14">
      <c r="I981" s="87"/>
      <c r="J981" s="87"/>
      <c r="K981" s="87"/>
      <c r="L981" s="88"/>
      <c r="M981" s="111"/>
      <c r="N981" s="111"/>
    </row>
    <row r="982" spans="9:14">
      <c r="I982" s="87"/>
      <c r="J982" s="87"/>
      <c r="K982" s="87"/>
      <c r="L982" s="88"/>
      <c r="M982" s="111"/>
      <c r="N982" s="111"/>
    </row>
    <row r="983" spans="9:14">
      <c r="I983" s="87"/>
      <c r="J983" s="87"/>
      <c r="K983" s="87"/>
      <c r="L983" s="88"/>
      <c r="M983" s="111"/>
      <c r="N983" s="111"/>
    </row>
    <row r="984" spans="9:14">
      <c r="I984" s="87"/>
      <c r="J984" s="87"/>
      <c r="K984" s="87"/>
      <c r="L984" s="88"/>
      <c r="M984" s="111"/>
      <c r="N984" s="111"/>
    </row>
    <row r="985" spans="9:14">
      <c r="I985" s="87"/>
      <c r="J985" s="87"/>
      <c r="K985" s="87"/>
      <c r="L985" s="88"/>
      <c r="M985" s="111"/>
      <c r="N985" s="111"/>
    </row>
    <row r="986" spans="9:14">
      <c r="I986" s="87"/>
      <c r="J986" s="87"/>
      <c r="K986" s="87"/>
      <c r="L986" s="88"/>
      <c r="M986" s="111"/>
      <c r="N986" s="111"/>
    </row>
    <row r="987" spans="9:14">
      <c r="I987" s="87"/>
      <c r="J987" s="87"/>
      <c r="K987" s="87"/>
      <c r="L987" s="88"/>
      <c r="M987" s="111"/>
      <c r="N987" s="111"/>
    </row>
    <row r="988" spans="9:14">
      <c r="I988" s="87"/>
      <c r="J988" s="87"/>
      <c r="K988" s="87"/>
      <c r="L988" s="88"/>
      <c r="M988" s="111"/>
      <c r="N988" s="111"/>
    </row>
    <row r="989" spans="9:14">
      <c r="I989" s="87"/>
      <c r="J989" s="87"/>
      <c r="K989" s="87"/>
      <c r="L989" s="88"/>
      <c r="M989" s="111"/>
      <c r="N989" s="111"/>
    </row>
    <row r="990" spans="9:14">
      <c r="I990" s="87"/>
      <c r="J990" s="87"/>
      <c r="K990" s="87"/>
      <c r="L990" s="88"/>
      <c r="M990" s="111"/>
      <c r="N990" s="111"/>
    </row>
    <row r="991" spans="9:14">
      <c r="I991" s="87"/>
      <c r="J991" s="87"/>
      <c r="K991" s="87"/>
      <c r="L991" s="88"/>
      <c r="M991" s="111"/>
      <c r="N991" s="111"/>
    </row>
    <row r="992" spans="9:14">
      <c r="I992" s="89"/>
      <c r="J992" s="89"/>
      <c r="K992" s="89"/>
      <c r="L992" s="90"/>
      <c r="M992" s="111"/>
      <c r="N992" s="111"/>
    </row>
    <row r="993" spans="9:14">
      <c r="I993" s="89"/>
      <c r="J993" s="89"/>
      <c r="K993" s="89"/>
      <c r="L993" s="90"/>
      <c r="M993" s="111"/>
      <c r="N993" s="111"/>
    </row>
    <row r="994" spans="9:14">
      <c r="I994" s="89"/>
      <c r="J994" s="89"/>
      <c r="K994" s="89"/>
      <c r="L994" s="90"/>
      <c r="M994" s="111"/>
      <c r="N994" s="111"/>
    </row>
    <row r="995" spans="9:14">
      <c r="I995" s="89"/>
      <c r="J995" s="89"/>
      <c r="K995" s="89"/>
      <c r="L995" s="90"/>
      <c r="M995" s="111"/>
      <c r="N995" s="111"/>
    </row>
    <row r="996" spans="9:14">
      <c r="I996" s="89"/>
      <c r="J996" s="89"/>
      <c r="K996" s="89"/>
      <c r="L996" s="90"/>
      <c r="M996" s="111"/>
      <c r="N996" s="111"/>
    </row>
    <row r="997" spans="9:14">
      <c r="I997" s="89"/>
      <c r="J997" s="89"/>
      <c r="K997" s="89"/>
      <c r="L997" s="90"/>
      <c r="M997" s="111"/>
      <c r="N997" s="111"/>
    </row>
    <row r="998" spans="9:14">
      <c r="I998" s="89"/>
      <c r="J998" s="89"/>
      <c r="K998" s="89"/>
      <c r="L998" s="90"/>
      <c r="M998" s="111"/>
      <c r="N998" s="111"/>
    </row>
    <row r="999" spans="9:14">
      <c r="I999" s="89"/>
      <c r="J999" s="89"/>
      <c r="K999" s="89"/>
      <c r="L999" s="90"/>
      <c r="M999" s="111"/>
      <c r="N999" s="111"/>
    </row>
    <row r="1000" spans="9:14">
      <c r="I1000" s="89"/>
      <c r="J1000" s="89"/>
      <c r="K1000" s="89"/>
      <c r="L1000" s="90"/>
      <c r="M1000" s="111"/>
      <c r="N1000" s="111"/>
    </row>
  </sheetData>
  <dataValidations count="2">
    <dataValidation type="list" allowBlank="1" sqref="O2:Z201" xr:uid="{00000000-0002-0000-0200-000000000000}">
      <formula1>"Pass,Fail,Pending,N/A"</formula1>
    </dataValidation>
    <dataValidation type="list" allowBlank="1" sqref="C2:H201" xr:uid="{00000000-0002-0000-0200-000001000000}">
      <formula1>"Yes,No"</formula1>
    </dataValidation>
  </dataValidations>
  <hyperlinks>
    <hyperlink ref="A1" r:id="rId1" xr:uid="{00000000-0004-0000-0200-000000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89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5.140625" customWidth="1"/>
    <col min="2" max="2" width="8.7109375" customWidth="1"/>
    <col min="3" max="3" width="26.5703125" customWidth="1"/>
    <col min="4" max="4" width="17.85546875" customWidth="1"/>
    <col min="5" max="5" width="50.140625" customWidth="1"/>
    <col min="6" max="6" width="18.7109375" customWidth="1"/>
    <col min="7" max="8" width="8.85546875" customWidth="1"/>
    <col min="9" max="9" width="9.85546875" customWidth="1"/>
    <col min="10" max="10" width="9" customWidth="1"/>
  </cols>
  <sheetData>
    <row r="1" spans="1:28">
      <c r="A1" s="91" t="s">
        <v>30</v>
      </c>
      <c r="B1" s="92" t="s">
        <v>31</v>
      </c>
      <c r="C1" s="92" t="s">
        <v>32</v>
      </c>
      <c r="D1" s="92" t="s">
        <v>682</v>
      </c>
      <c r="E1" s="92" t="s">
        <v>33</v>
      </c>
      <c r="F1" s="92" t="s">
        <v>34</v>
      </c>
      <c r="G1" s="92" t="s">
        <v>119</v>
      </c>
      <c r="H1" s="92" t="s">
        <v>683</v>
      </c>
      <c r="I1" s="92" t="s">
        <v>684</v>
      </c>
      <c r="J1" s="92" t="s">
        <v>685</v>
      </c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28">
      <c r="A2" s="94">
        <v>1</v>
      </c>
      <c r="B2" s="95" t="s">
        <v>686</v>
      </c>
      <c r="C2" s="95" t="s">
        <v>687</v>
      </c>
      <c r="D2" s="95" t="s">
        <v>15</v>
      </c>
      <c r="E2" s="95" t="s">
        <v>688</v>
      </c>
      <c r="F2" s="95" t="s">
        <v>40</v>
      </c>
      <c r="G2" s="95" t="s">
        <v>137</v>
      </c>
      <c r="H2" s="96" t="s">
        <v>15</v>
      </c>
      <c r="I2" s="97" t="s">
        <v>41</v>
      </c>
      <c r="J2" s="96" t="s">
        <v>15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</row>
    <row r="3" spans="1:28">
      <c r="A3" s="94">
        <v>2</v>
      </c>
      <c r="B3" s="95" t="s">
        <v>689</v>
      </c>
      <c r="C3" s="95" t="s">
        <v>690</v>
      </c>
      <c r="D3" s="95" t="s">
        <v>134</v>
      </c>
      <c r="E3" s="95" t="s">
        <v>691</v>
      </c>
      <c r="F3" s="95" t="s">
        <v>692</v>
      </c>
      <c r="G3" s="95" t="s">
        <v>137</v>
      </c>
      <c r="H3" s="96" t="s">
        <v>15</v>
      </c>
      <c r="I3" s="97" t="s">
        <v>41</v>
      </c>
      <c r="J3" s="96" t="s">
        <v>15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28">
      <c r="A4" s="94">
        <v>3</v>
      </c>
      <c r="B4" s="95" t="s">
        <v>693</v>
      </c>
      <c r="C4" s="95" t="s">
        <v>694</v>
      </c>
      <c r="D4" s="95" t="s">
        <v>134</v>
      </c>
      <c r="E4" s="95" t="s">
        <v>694</v>
      </c>
      <c r="F4" s="95" t="s">
        <v>692</v>
      </c>
      <c r="G4" s="95" t="s">
        <v>137</v>
      </c>
      <c r="H4" s="96" t="s">
        <v>15</v>
      </c>
      <c r="I4" s="97" t="s">
        <v>41</v>
      </c>
      <c r="J4" s="96" t="s">
        <v>15</v>
      </c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</row>
    <row r="5" spans="1:28">
      <c r="A5" s="94">
        <v>4</v>
      </c>
      <c r="B5" s="95" t="s">
        <v>695</v>
      </c>
      <c r="C5" s="95" t="s">
        <v>696</v>
      </c>
      <c r="D5" s="95" t="s">
        <v>134</v>
      </c>
      <c r="E5" s="95" t="s">
        <v>696</v>
      </c>
      <c r="F5" s="95" t="s">
        <v>697</v>
      </c>
      <c r="G5" s="95" t="s">
        <v>137</v>
      </c>
      <c r="H5" s="96" t="s">
        <v>15</v>
      </c>
      <c r="I5" s="97" t="s">
        <v>41</v>
      </c>
      <c r="J5" s="96" t="s">
        <v>15</v>
      </c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</row>
    <row r="6" spans="1:28">
      <c r="A6" s="94">
        <v>5</v>
      </c>
      <c r="B6" s="95" t="s">
        <v>698</v>
      </c>
      <c r="C6" s="95" t="s">
        <v>699</v>
      </c>
      <c r="D6" s="95" t="s">
        <v>134</v>
      </c>
      <c r="E6" s="95" t="s">
        <v>699</v>
      </c>
      <c r="F6" s="95" t="s">
        <v>700</v>
      </c>
      <c r="G6" s="95" t="s">
        <v>137</v>
      </c>
      <c r="H6" s="96" t="s">
        <v>15</v>
      </c>
      <c r="I6" s="97" t="s">
        <v>41</v>
      </c>
      <c r="J6" s="96" t="s">
        <v>15</v>
      </c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</row>
    <row r="7" spans="1:28">
      <c r="A7" s="94">
        <v>6</v>
      </c>
      <c r="B7" s="95" t="s">
        <v>701</v>
      </c>
      <c r="C7" s="95" t="s">
        <v>702</v>
      </c>
      <c r="D7" s="95" t="s">
        <v>134</v>
      </c>
      <c r="E7" s="95" t="s">
        <v>702</v>
      </c>
      <c r="F7" s="95" t="s">
        <v>692</v>
      </c>
      <c r="G7" s="95" t="s">
        <v>137</v>
      </c>
      <c r="H7" s="96" t="s">
        <v>15</v>
      </c>
      <c r="I7" s="97" t="s">
        <v>41</v>
      </c>
      <c r="J7" s="96" t="s">
        <v>15</v>
      </c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</row>
    <row r="8" spans="1:28">
      <c r="A8" s="94">
        <v>7</v>
      </c>
      <c r="B8" s="95" t="s">
        <v>703</v>
      </c>
      <c r="C8" s="95" t="s">
        <v>704</v>
      </c>
      <c r="D8" s="95" t="s">
        <v>134</v>
      </c>
      <c r="E8" s="95" t="s">
        <v>704</v>
      </c>
      <c r="F8" s="95" t="s">
        <v>692</v>
      </c>
      <c r="G8" s="95" t="s">
        <v>137</v>
      </c>
      <c r="H8" s="96" t="s">
        <v>15</v>
      </c>
      <c r="I8" s="97" t="s">
        <v>41</v>
      </c>
      <c r="J8" s="96" t="s">
        <v>15</v>
      </c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</row>
    <row r="9" spans="1:28">
      <c r="A9" s="94">
        <v>8</v>
      </c>
      <c r="B9" s="95" t="s">
        <v>705</v>
      </c>
      <c r="C9" s="95" t="s">
        <v>706</v>
      </c>
      <c r="D9" s="95" t="s">
        <v>134</v>
      </c>
      <c r="E9" s="95" t="s">
        <v>706</v>
      </c>
      <c r="F9" s="95" t="s">
        <v>697</v>
      </c>
      <c r="G9" s="95" t="s">
        <v>137</v>
      </c>
      <c r="H9" s="96" t="s">
        <v>15</v>
      </c>
      <c r="I9" s="97" t="s">
        <v>41</v>
      </c>
      <c r="J9" s="96" t="s">
        <v>15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</row>
    <row r="10" spans="1:28">
      <c r="A10" s="94">
        <v>9</v>
      </c>
      <c r="B10" s="95" t="s">
        <v>707</v>
      </c>
      <c r="C10" s="95" t="s">
        <v>708</v>
      </c>
      <c r="D10" s="95" t="s">
        <v>134</v>
      </c>
      <c r="E10" s="95" t="s">
        <v>708</v>
      </c>
      <c r="F10" s="95" t="s">
        <v>700</v>
      </c>
      <c r="G10" s="95" t="s">
        <v>137</v>
      </c>
      <c r="H10" s="96" t="s">
        <v>15</v>
      </c>
      <c r="I10" s="97" t="s">
        <v>41</v>
      </c>
      <c r="J10" s="96" t="s">
        <v>15</v>
      </c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</row>
    <row r="11" spans="1:28">
      <c r="A11" s="94">
        <v>10</v>
      </c>
      <c r="B11" s="95" t="s">
        <v>709</v>
      </c>
      <c r="C11" s="95" t="s">
        <v>710</v>
      </c>
      <c r="D11" s="95" t="s">
        <v>711</v>
      </c>
      <c r="E11" s="95" t="s">
        <v>710</v>
      </c>
      <c r="F11" s="95" t="s">
        <v>692</v>
      </c>
      <c r="G11" s="95" t="s">
        <v>137</v>
      </c>
      <c r="H11" s="96" t="s">
        <v>15</v>
      </c>
      <c r="I11" s="97" t="s">
        <v>41</v>
      </c>
      <c r="J11" s="96" t="s">
        <v>15</v>
      </c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</row>
    <row r="12" spans="1:28">
      <c r="A12" s="94">
        <v>11</v>
      </c>
      <c r="B12" s="95" t="s">
        <v>712</v>
      </c>
      <c r="C12" s="95" t="s">
        <v>713</v>
      </c>
      <c r="D12" s="95" t="s">
        <v>711</v>
      </c>
      <c r="E12" s="95" t="s">
        <v>713</v>
      </c>
      <c r="F12" s="95" t="s">
        <v>692</v>
      </c>
      <c r="G12" s="95" t="s">
        <v>137</v>
      </c>
      <c r="H12" s="96" t="s">
        <v>15</v>
      </c>
      <c r="I12" s="97" t="s">
        <v>41</v>
      </c>
      <c r="J12" s="96" t="s">
        <v>15</v>
      </c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</row>
    <row r="13" spans="1:28">
      <c r="A13" s="94">
        <v>12</v>
      </c>
      <c r="B13" s="95" t="s">
        <v>714</v>
      </c>
      <c r="C13" s="95" t="s">
        <v>715</v>
      </c>
      <c r="D13" s="95" t="s">
        <v>711</v>
      </c>
      <c r="E13" s="95" t="s">
        <v>715</v>
      </c>
      <c r="F13" s="95" t="s">
        <v>697</v>
      </c>
      <c r="G13" s="95" t="s">
        <v>137</v>
      </c>
      <c r="H13" s="96" t="s">
        <v>15</v>
      </c>
      <c r="I13" s="97" t="s">
        <v>41</v>
      </c>
      <c r="J13" s="96" t="s">
        <v>15</v>
      </c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</row>
    <row r="14" spans="1:28">
      <c r="A14" s="94">
        <v>13</v>
      </c>
      <c r="B14" s="95" t="s">
        <v>716</v>
      </c>
      <c r="C14" s="95" t="s">
        <v>717</v>
      </c>
      <c r="D14" s="95" t="s">
        <v>134</v>
      </c>
      <c r="E14" s="95" t="s">
        <v>717</v>
      </c>
      <c r="F14" s="95" t="s">
        <v>700</v>
      </c>
      <c r="G14" s="95" t="s">
        <v>137</v>
      </c>
      <c r="H14" s="96" t="s">
        <v>15</v>
      </c>
      <c r="I14" s="97" t="s">
        <v>41</v>
      </c>
      <c r="J14" s="96" t="s">
        <v>15</v>
      </c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</row>
    <row r="15" spans="1:28">
      <c r="A15" s="94">
        <v>14</v>
      </c>
      <c r="B15" s="95" t="s">
        <v>718</v>
      </c>
      <c r="C15" s="95" t="s">
        <v>719</v>
      </c>
      <c r="D15" s="95" t="s">
        <v>134</v>
      </c>
      <c r="E15" s="95" t="s">
        <v>720</v>
      </c>
      <c r="F15" s="95" t="s">
        <v>692</v>
      </c>
      <c r="G15" s="95" t="s">
        <v>137</v>
      </c>
      <c r="H15" s="96" t="s">
        <v>15</v>
      </c>
      <c r="I15" s="97" t="s">
        <v>41</v>
      </c>
      <c r="J15" s="96" t="s">
        <v>15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</row>
    <row r="16" spans="1:28">
      <c r="A16" s="94">
        <v>15</v>
      </c>
      <c r="B16" s="95" t="s">
        <v>721</v>
      </c>
      <c r="C16" s="95" t="s">
        <v>722</v>
      </c>
      <c r="D16" s="95" t="s">
        <v>711</v>
      </c>
      <c r="E16" s="95" t="s">
        <v>720</v>
      </c>
      <c r="F16" s="95" t="s">
        <v>692</v>
      </c>
      <c r="G16" s="95" t="s">
        <v>137</v>
      </c>
      <c r="H16" s="96" t="s">
        <v>15</v>
      </c>
      <c r="I16" s="97" t="s">
        <v>41</v>
      </c>
      <c r="J16" s="96" t="s">
        <v>15</v>
      </c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</row>
    <row r="17" spans="1:28">
      <c r="A17" s="94">
        <v>16</v>
      </c>
      <c r="B17" s="95" t="s">
        <v>723</v>
      </c>
      <c r="C17" s="95" t="s">
        <v>724</v>
      </c>
      <c r="D17" s="95" t="s">
        <v>134</v>
      </c>
      <c r="E17" s="95" t="s">
        <v>724</v>
      </c>
      <c r="F17" s="95" t="s">
        <v>725</v>
      </c>
      <c r="G17" s="95" t="s">
        <v>137</v>
      </c>
      <c r="H17" s="96" t="s">
        <v>15</v>
      </c>
      <c r="I17" s="97" t="s">
        <v>41</v>
      </c>
      <c r="J17" s="96" t="s">
        <v>15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</row>
    <row r="18" spans="1:28">
      <c r="A18" s="94">
        <v>17</v>
      </c>
      <c r="B18" s="95" t="s">
        <v>726</v>
      </c>
      <c r="C18" s="95" t="s">
        <v>727</v>
      </c>
      <c r="D18" s="95" t="s">
        <v>134</v>
      </c>
      <c r="E18" s="95" t="s">
        <v>727</v>
      </c>
      <c r="F18" s="95" t="s">
        <v>725</v>
      </c>
      <c r="G18" s="95" t="s">
        <v>137</v>
      </c>
      <c r="H18" s="96" t="s">
        <v>15</v>
      </c>
      <c r="I18" s="97" t="s">
        <v>41</v>
      </c>
      <c r="J18" s="96" t="s">
        <v>15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</row>
    <row r="19" spans="1:28">
      <c r="A19" s="94">
        <v>18</v>
      </c>
      <c r="B19" s="95" t="s">
        <v>728</v>
      </c>
      <c r="C19" s="95" t="s">
        <v>729</v>
      </c>
      <c r="D19" s="95" t="s">
        <v>134</v>
      </c>
      <c r="E19" s="95" t="s">
        <v>729</v>
      </c>
      <c r="F19" s="95" t="s">
        <v>730</v>
      </c>
      <c r="G19" s="95" t="s">
        <v>137</v>
      </c>
      <c r="H19" s="96" t="s">
        <v>15</v>
      </c>
      <c r="I19" s="97" t="s">
        <v>41</v>
      </c>
      <c r="J19" s="96" t="s">
        <v>15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</row>
    <row r="20" spans="1:28">
      <c r="A20" s="94">
        <v>19</v>
      </c>
      <c r="B20" s="95" t="s">
        <v>731</v>
      </c>
      <c r="C20" s="95" t="s">
        <v>732</v>
      </c>
      <c r="D20" s="95" t="s">
        <v>134</v>
      </c>
      <c r="E20" s="95" t="s">
        <v>732</v>
      </c>
      <c r="F20" s="95" t="s">
        <v>733</v>
      </c>
      <c r="G20" s="95" t="s">
        <v>137</v>
      </c>
      <c r="H20" s="96" t="s">
        <v>15</v>
      </c>
      <c r="I20" s="97" t="s">
        <v>41</v>
      </c>
      <c r="J20" s="96" t="s">
        <v>15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</row>
    <row r="21" spans="1:28">
      <c r="A21" s="94">
        <v>20</v>
      </c>
      <c r="B21" s="95" t="s">
        <v>734</v>
      </c>
      <c r="C21" s="95" t="s">
        <v>735</v>
      </c>
      <c r="D21" s="95" t="s">
        <v>134</v>
      </c>
      <c r="E21" s="95" t="s">
        <v>735</v>
      </c>
      <c r="F21" s="95" t="s">
        <v>725</v>
      </c>
      <c r="G21" s="95" t="s">
        <v>137</v>
      </c>
      <c r="H21" s="96" t="s">
        <v>15</v>
      </c>
      <c r="I21" s="97" t="s">
        <v>41</v>
      </c>
      <c r="J21" s="96" t="s">
        <v>15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</row>
    <row r="22" spans="1:28">
      <c r="A22" s="94">
        <v>21</v>
      </c>
      <c r="B22" s="95" t="s">
        <v>736</v>
      </c>
      <c r="C22" s="95" t="s">
        <v>737</v>
      </c>
      <c r="D22" s="95" t="s">
        <v>134</v>
      </c>
      <c r="E22" s="95" t="s">
        <v>737</v>
      </c>
      <c r="F22" s="95" t="s">
        <v>730</v>
      </c>
      <c r="G22" s="95" t="s">
        <v>137</v>
      </c>
      <c r="H22" s="96" t="s">
        <v>15</v>
      </c>
      <c r="I22" s="97" t="s">
        <v>41</v>
      </c>
      <c r="J22" s="96" t="s">
        <v>15</v>
      </c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</row>
    <row r="23" spans="1:28">
      <c r="A23" s="94">
        <v>22</v>
      </c>
      <c r="B23" s="95" t="s">
        <v>738</v>
      </c>
      <c r="C23" s="95" t="s">
        <v>739</v>
      </c>
      <c r="D23" s="95" t="s">
        <v>134</v>
      </c>
      <c r="E23" s="95" t="s">
        <v>739</v>
      </c>
      <c r="F23" s="95" t="s">
        <v>725</v>
      </c>
      <c r="G23" s="95" t="s">
        <v>137</v>
      </c>
      <c r="H23" s="96" t="s">
        <v>15</v>
      </c>
      <c r="I23" s="97" t="s">
        <v>41</v>
      </c>
      <c r="J23" s="96" t="s">
        <v>15</v>
      </c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</row>
    <row r="24" spans="1:28">
      <c r="A24" s="94">
        <v>23</v>
      </c>
      <c r="B24" s="95" t="s">
        <v>740</v>
      </c>
      <c r="C24" s="95" t="s">
        <v>741</v>
      </c>
      <c r="D24" s="95" t="s">
        <v>134</v>
      </c>
      <c r="E24" s="95" t="s">
        <v>741</v>
      </c>
      <c r="F24" s="95" t="s">
        <v>725</v>
      </c>
      <c r="G24" s="95" t="s">
        <v>137</v>
      </c>
      <c r="H24" s="96" t="s">
        <v>15</v>
      </c>
      <c r="I24" s="97" t="s">
        <v>41</v>
      </c>
      <c r="J24" s="96" t="s">
        <v>15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</row>
    <row r="25" spans="1:28">
      <c r="A25" s="94">
        <v>24</v>
      </c>
      <c r="B25" s="95" t="s">
        <v>742</v>
      </c>
      <c r="C25" s="95" t="s">
        <v>743</v>
      </c>
      <c r="D25" s="95" t="s">
        <v>134</v>
      </c>
      <c r="E25" s="95" t="s">
        <v>743</v>
      </c>
      <c r="F25" s="95" t="s">
        <v>730</v>
      </c>
      <c r="G25" s="95" t="s">
        <v>137</v>
      </c>
      <c r="H25" s="96" t="s">
        <v>15</v>
      </c>
      <c r="I25" s="97" t="s">
        <v>41</v>
      </c>
      <c r="J25" s="96" t="s">
        <v>15</v>
      </c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</row>
    <row r="26" spans="1:28">
      <c r="A26" s="94">
        <v>25</v>
      </c>
      <c r="B26" s="95" t="s">
        <v>744</v>
      </c>
      <c r="C26" s="95" t="s">
        <v>745</v>
      </c>
      <c r="D26" s="95" t="s">
        <v>134</v>
      </c>
      <c r="E26" s="95" t="s">
        <v>745</v>
      </c>
      <c r="F26" s="95" t="s">
        <v>733</v>
      </c>
      <c r="G26" s="95" t="s">
        <v>137</v>
      </c>
      <c r="H26" s="96" t="s">
        <v>15</v>
      </c>
      <c r="I26" s="97" t="s">
        <v>41</v>
      </c>
      <c r="J26" s="96" t="s">
        <v>15</v>
      </c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</row>
    <row r="27" spans="1:28">
      <c r="A27" s="94">
        <v>26</v>
      </c>
      <c r="B27" s="95" t="s">
        <v>746</v>
      </c>
      <c r="C27" s="95" t="s">
        <v>747</v>
      </c>
      <c r="D27" s="95" t="s">
        <v>134</v>
      </c>
      <c r="E27" s="95" t="s">
        <v>747</v>
      </c>
      <c r="F27" s="95" t="s">
        <v>725</v>
      </c>
      <c r="G27" s="95" t="s">
        <v>137</v>
      </c>
      <c r="H27" s="96" t="s">
        <v>15</v>
      </c>
      <c r="I27" s="97" t="s">
        <v>41</v>
      </c>
      <c r="J27" s="96" t="s">
        <v>15</v>
      </c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</row>
    <row r="28" spans="1:28">
      <c r="A28" s="94">
        <v>28</v>
      </c>
      <c r="B28" s="95" t="s">
        <v>748</v>
      </c>
      <c r="C28" s="95" t="s">
        <v>749</v>
      </c>
      <c r="D28" s="95" t="s">
        <v>134</v>
      </c>
      <c r="E28" s="95" t="s">
        <v>749</v>
      </c>
      <c r="F28" s="95" t="s">
        <v>730</v>
      </c>
      <c r="G28" s="95" t="s">
        <v>137</v>
      </c>
      <c r="H28" s="96" t="s">
        <v>15</v>
      </c>
      <c r="I28" s="97" t="s">
        <v>41</v>
      </c>
      <c r="J28" s="96" t="s">
        <v>15</v>
      </c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</row>
    <row r="29" spans="1:28">
      <c r="A29" s="94">
        <v>29</v>
      </c>
      <c r="B29" s="95" t="s">
        <v>750</v>
      </c>
      <c r="C29" s="95" t="s">
        <v>751</v>
      </c>
      <c r="D29" s="95" t="s">
        <v>711</v>
      </c>
      <c r="E29" s="95" t="s">
        <v>751</v>
      </c>
      <c r="F29" s="95" t="s">
        <v>725</v>
      </c>
      <c r="G29" s="95" t="s">
        <v>137</v>
      </c>
      <c r="H29" s="96" t="s">
        <v>15</v>
      </c>
      <c r="I29" s="97" t="s">
        <v>41</v>
      </c>
      <c r="J29" s="96" t="s">
        <v>15</v>
      </c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</row>
    <row r="30" spans="1:28">
      <c r="A30" s="94">
        <v>30</v>
      </c>
      <c r="B30" s="95" t="s">
        <v>752</v>
      </c>
      <c r="C30" s="95" t="s">
        <v>753</v>
      </c>
      <c r="D30" s="95" t="s">
        <v>711</v>
      </c>
      <c r="E30" s="95" t="s">
        <v>753</v>
      </c>
      <c r="F30" s="95" t="s">
        <v>725</v>
      </c>
      <c r="G30" s="95" t="s">
        <v>137</v>
      </c>
      <c r="H30" s="96" t="s">
        <v>15</v>
      </c>
      <c r="I30" s="97" t="s">
        <v>41</v>
      </c>
      <c r="J30" s="96" t="s">
        <v>15</v>
      </c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</row>
    <row r="31" spans="1:28">
      <c r="A31" s="94">
        <v>31</v>
      </c>
      <c r="B31" s="95" t="s">
        <v>754</v>
      </c>
      <c r="C31" s="95" t="s">
        <v>755</v>
      </c>
      <c r="D31" s="95" t="s">
        <v>711</v>
      </c>
      <c r="E31" s="95" t="s">
        <v>755</v>
      </c>
      <c r="F31" s="95" t="s">
        <v>730</v>
      </c>
      <c r="G31" s="95" t="s">
        <v>137</v>
      </c>
      <c r="H31" s="96" t="s">
        <v>15</v>
      </c>
      <c r="I31" s="97" t="s">
        <v>41</v>
      </c>
      <c r="J31" s="96" t="s">
        <v>15</v>
      </c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</row>
    <row r="32" spans="1:28">
      <c r="A32" s="94">
        <v>32</v>
      </c>
      <c r="B32" s="95" t="s">
        <v>756</v>
      </c>
      <c r="C32" s="95" t="s">
        <v>757</v>
      </c>
      <c r="D32" s="95" t="s">
        <v>134</v>
      </c>
      <c r="E32" s="95" t="s">
        <v>757</v>
      </c>
      <c r="F32" s="95" t="s">
        <v>733</v>
      </c>
      <c r="G32" s="95" t="s">
        <v>137</v>
      </c>
      <c r="H32" s="96" t="s">
        <v>15</v>
      </c>
      <c r="I32" s="97" t="s">
        <v>41</v>
      </c>
      <c r="J32" s="96" t="s">
        <v>15</v>
      </c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</row>
    <row r="33" spans="1:28">
      <c r="A33" s="94">
        <v>33</v>
      </c>
      <c r="B33" s="95" t="s">
        <v>758</v>
      </c>
      <c r="C33" s="95" t="s">
        <v>759</v>
      </c>
      <c r="D33" s="95" t="s">
        <v>711</v>
      </c>
      <c r="E33" s="95" t="s">
        <v>759</v>
      </c>
      <c r="F33" s="95" t="s">
        <v>725</v>
      </c>
      <c r="G33" s="95" t="s">
        <v>137</v>
      </c>
      <c r="H33" s="96" t="s">
        <v>15</v>
      </c>
      <c r="I33" s="97" t="s">
        <v>41</v>
      </c>
      <c r="J33" s="96" t="s">
        <v>15</v>
      </c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</row>
    <row r="34" spans="1:28">
      <c r="A34" s="94">
        <v>35</v>
      </c>
      <c r="B34" s="95" t="s">
        <v>760</v>
      </c>
      <c r="C34" s="95" t="s">
        <v>761</v>
      </c>
      <c r="D34" s="95" t="s">
        <v>134</v>
      </c>
      <c r="E34" s="95" t="s">
        <v>761</v>
      </c>
      <c r="F34" s="95" t="s">
        <v>730</v>
      </c>
      <c r="G34" s="95" t="s">
        <v>137</v>
      </c>
      <c r="H34" s="96" t="s">
        <v>15</v>
      </c>
      <c r="I34" s="97" t="s">
        <v>41</v>
      </c>
      <c r="J34" s="96" t="s">
        <v>15</v>
      </c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</row>
    <row r="35" spans="1:28">
      <c r="A35" s="94">
        <v>36</v>
      </c>
      <c r="B35" s="95" t="s">
        <v>762</v>
      </c>
      <c r="C35" s="95" t="s">
        <v>763</v>
      </c>
      <c r="D35" s="95" t="s">
        <v>134</v>
      </c>
      <c r="E35" s="95" t="s">
        <v>764</v>
      </c>
      <c r="F35" s="95" t="s">
        <v>725</v>
      </c>
      <c r="G35" s="95" t="s">
        <v>137</v>
      </c>
      <c r="H35" s="96" t="s">
        <v>15</v>
      </c>
      <c r="I35" s="97" t="s">
        <v>41</v>
      </c>
      <c r="J35" s="96" t="s">
        <v>15</v>
      </c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</row>
    <row r="36" spans="1:28">
      <c r="A36" s="94">
        <v>37</v>
      </c>
      <c r="B36" s="95" t="s">
        <v>765</v>
      </c>
      <c r="C36" s="95" t="s">
        <v>766</v>
      </c>
      <c r="D36" s="95" t="s">
        <v>711</v>
      </c>
      <c r="E36" s="95" t="s">
        <v>767</v>
      </c>
      <c r="F36" s="95" t="s">
        <v>725</v>
      </c>
      <c r="G36" s="95" t="s">
        <v>137</v>
      </c>
      <c r="H36" s="96" t="s">
        <v>15</v>
      </c>
      <c r="I36" s="97" t="s">
        <v>41</v>
      </c>
      <c r="J36" s="96" t="s">
        <v>15</v>
      </c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</row>
    <row r="37" spans="1:28">
      <c r="A37" s="94">
        <v>38</v>
      </c>
      <c r="B37" s="95" t="s">
        <v>768</v>
      </c>
      <c r="C37" s="95" t="s">
        <v>769</v>
      </c>
      <c r="D37" s="95" t="s">
        <v>711</v>
      </c>
      <c r="E37" s="95" t="s">
        <v>770</v>
      </c>
      <c r="F37" s="95" t="s">
        <v>725</v>
      </c>
      <c r="G37" s="95" t="s">
        <v>137</v>
      </c>
      <c r="H37" s="96" t="s">
        <v>15</v>
      </c>
      <c r="I37" s="97" t="s">
        <v>41</v>
      </c>
      <c r="J37" s="96" t="s">
        <v>15</v>
      </c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</row>
    <row r="38" spans="1:28">
      <c r="A38" s="94">
        <v>39</v>
      </c>
      <c r="B38" s="95" t="s">
        <v>771</v>
      </c>
      <c r="C38" s="95" t="s">
        <v>772</v>
      </c>
      <c r="D38" s="95" t="s">
        <v>134</v>
      </c>
      <c r="E38" s="95" t="s">
        <v>773</v>
      </c>
      <c r="F38" s="95" t="s">
        <v>774</v>
      </c>
      <c r="G38" s="95" t="s">
        <v>137</v>
      </c>
      <c r="H38" s="96" t="s">
        <v>15</v>
      </c>
      <c r="I38" s="97" t="s">
        <v>41</v>
      </c>
      <c r="J38" s="96" t="s">
        <v>15</v>
      </c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</row>
    <row r="39" spans="1:28">
      <c r="A39" s="94">
        <v>40</v>
      </c>
      <c r="B39" s="95" t="s">
        <v>775</v>
      </c>
      <c r="C39" s="95" t="s">
        <v>776</v>
      </c>
      <c r="D39" s="95" t="s">
        <v>134</v>
      </c>
      <c r="E39" s="95" t="s">
        <v>777</v>
      </c>
      <c r="F39" s="95" t="s">
        <v>774</v>
      </c>
      <c r="G39" s="95" t="s">
        <v>137</v>
      </c>
      <c r="H39" s="96" t="s">
        <v>15</v>
      </c>
      <c r="I39" s="97" t="s">
        <v>41</v>
      </c>
      <c r="J39" s="96" t="s">
        <v>15</v>
      </c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</row>
    <row r="40" spans="1:28">
      <c r="A40" s="94">
        <v>41</v>
      </c>
      <c r="B40" s="95" t="s">
        <v>778</v>
      </c>
      <c r="C40" s="95" t="s">
        <v>779</v>
      </c>
      <c r="D40" s="95" t="s">
        <v>711</v>
      </c>
      <c r="E40" s="95" t="s">
        <v>780</v>
      </c>
      <c r="F40" s="95" t="s">
        <v>774</v>
      </c>
      <c r="G40" s="95" t="s">
        <v>137</v>
      </c>
      <c r="H40" s="96" t="s">
        <v>15</v>
      </c>
      <c r="I40" s="97" t="s">
        <v>41</v>
      </c>
      <c r="J40" s="96" t="s">
        <v>15</v>
      </c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</row>
    <row r="41" spans="1:28">
      <c r="A41" s="94">
        <v>42</v>
      </c>
      <c r="B41" s="95" t="s">
        <v>781</v>
      </c>
      <c r="C41" s="95" t="s">
        <v>782</v>
      </c>
      <c r="D41" s="95" t="s">
        <v>134</v>
      </c>
      <c r="E41" s="95" t="s">
        <v>783</v>
      </c>
      <c r="F41" s="95" t="s">
        <v>774</v>
      </c>
      <c r="G41" s="95" t="s">
        <v>137</v>
      </c>
      <c r="H41" s="96" t="s">
        <v>15</v>
      </c>
      <c r="I41" s="97" t="s">
        <v>41</v>
      </c>
      <c r="J41" s="96" t="s">
        <v>15</v>
      </c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</row>
    <row r="42" spans="1:28">
      <c r="A42" s="94">
        <v>43</v>
      </c>
      <c r="B42" s="95" t="s">
        <v>784</v>
      </c>
      <c r="C42" s="95" t="s">
        <v>785</v>
      </c>
      <c r="D42" s="95" t="s">
        <v>134</v>
      </c>
      <c r="E42" s="95" t="s">
        <v>786</v>
      </c>
      <c r="F42" s="95" t="s">
        <v>774</v>
      </c>
      <c r="G42" s="95" t="s">
        <v>137</v>
      </c>
      <c r="H42" s="96" t="s">
        <v>15</v>
      </c>
      <c r="I42" s="97" t="s">
        <v>41</v>
      </c>
      <c r="J42" s="96" t="s">
        <v>15</v>
      </c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</row>
    <row r="43" spans="1:28">
      <c r="A43" s="94">
        <v>44</v>
      </c>
      <c r="B43" s="95" t="s">
        <v>787</v>
      </c>
      <c r="C43" s="95" t="s">
        <v>788</v>
      </c>
      <c r="D43" s="95" t="s">
        <v>711</v>
      </c>
      <c r="E43" s="95" t="s">
        <v>789</v>
      </c>
      <c r="F43" s="95" t="s">
        <v>774</v>
      </c>
      <c r="G43" s="95" t="s">
        <v>137</v>
      </c>
      <c r="H43" s="96" t="s">
        <v>15</v>
      </c>
      <c r="I43" s="97" t="s">
        <v>41</v>
      </c>
      <c r="J43" s="96" t="s">
        <v>15</v>
      </c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</row>
    <row r="44" spans="1:28">
      <c r="A44" s="94">
        <v>45</v>
      </c>
      <c r="B44" s="95" t="s">
        <v>790</v>
      </c>
      <c r="C44" s="95" t="s">
        <v>791</v>
      </c>
      <c r="D44" s="95" t="s">
        <v>134</v>
      </c>
      <c r="E44" s="95" t="s">
        <v>791</v>
      </c>
      <c r="F44" s="95" t="s">
        <v>792</v>
      </c>
      <c r="G44" s="95" t="s">
        <v>137</v>
      </c>
      <c r="H44" s="96" t="s">
        <v>15</v>
      </c>
      <c r="I44" s="97" t="s">
        <v>41</v>
      </c>
      <c r="J44" s="96" t="s">
        <v>15</v>
      </c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</row>
    <row r="45" spans="1:28">
      <c r="A45" s="94">
        <v>46</v>
      </c>
      <c r="B45" s="95" t="s">
        <v>793</v>
      </c>
      <c r="C45" s="95" t="s">
        <v>794</v>
      </c>
      <c r="D45" s="95" t="s">
        <v>134</v>
      </c>
      <c r="E45" s="95" t="s">
        <v>794</v>
      </c>
      <c r="F45" s="95" t="s">
        <v>792</v>
      </c>
      <c r="G45" s="95" t="s">
        <v>137</v>
      </c>
      <c r="H45" s="96" t="s">
        <v>15</v>
      </c>
      <c r="I45" s="97" t="s">
        <v>41</v>
      </c>
      <c r="J45" s="96" t="s">
        <v>15</v>
      </c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</row>
    <row r="46" spans="1:28">
      <c r="A46" s="94">
        <v>47</v>
      </c>
      <c r="B46" s="95" t="s">
        <v>795</v>
      </c>
      <c r="C46" s="95" t="s">
        <v>796</v>
      </c>
      <c r="D46" s="95" t="s">
        <v>711</v>
      </c>
      <c r="E46" s="95" t="s">
        <v>796</v>
      </c>
      <c r="F46" s="95" t="s">
        <v>792</v>
      </c>
      <c r="G46" s="95" t="s">
        <v>137</v>
      </c>
      <c r="H46" s="96" t="s">
        <v>15</v>
      </c>
      <c r="I46" s="97" t="s">
        <v>41</v>
      </c>
      <c r="J46" s="96" t="s">
        <v>15</v>
      </c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</row>
    <row r="47" spans="1:28">
      <c r="A47" s="94">
        <v>48</v>
      </c>
      <c r="B47" s="95" t="s">
        <v>797</v>
      </c>
      <c r="C47" s="95" t="s">
        <v>798</v>
      </c>
      <c r="D47" s="95" t="s">
        <v>134</v>
      </c>
      <c r="E47" s="95" t="s">
        <v>798</v>
      </c>
      <c r="F47" s="95" t="s">
        <v>799</v>
      </c>
      <c r="G47" s="95" t="s">
        <v>137</v>
      </c>
      <c r="H47" s="96" t="s">
        <v>15</v>
      </c>
      <c r="I47" s="97" t="s">
        <v>41</v>
      </c>
      <c r="J47" s="96" t="s">
        <v>15</v>
      </c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</row>
    <row r="48" spans="1:28">
      <c r="A48" s="94">
        <v>49</v>
      </c>
      <c r="B48" s="95" t="s">
        <v>800</v>
      </c>
      <c r="C48" s="95" t="s">
        <v>801</v>
      </c>
      <c r="D48" s="95" t="s">
        <v>134</v>
      </c>
      <c r="E48" s="95" t="s">
        <v>801</v>
      </c>
      <c r="F48" s="95" t="s">
        <v>799</v>
      </c>
      <c r="G48" s="95" t="s">
        <v>137</v>
      </c>
      <c r="H48" s="96" t="s">
        <v>15</v>
      </c>
      <c r="I48" s="97" t="s">
        <v>41</v>
      </c>
      <c r="J48" s="96" t="s">
        <v>15</v>
      </c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</row>
    <row r="49" spans="1:28">
      <c r="A49" s="94">
        <v>50</v>
      </c>
      <c r="B49" s="95" t="s">
        <v>802</v>
      </c>
      <c r="C49" s="95" t="s">
        <v>803</v>
      </c>
      <c r="D49" s="95" t="s">
        <v>134</v>
      </c>
      <c r="E49" s="95" t="s">
        <v>803</v>
      </c>
      <c r="F49" s="95" t="s">
        <v>799</v>
      </c>
      <c r="G49" s="95" t="s">
        <v>137</v>
      </c>
      <c r="H49" s="96" t="s">
        <v>15</v>
      </c>
      <c r="I49" s="97" t="s">
        <v>41</v>
      </c>
      <c r="J49" s="96" t="s">
        <v>15</v>
      </c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</row>
    <row r="50" spans="1:28">
      <c r="A50" s="94">
        <v>51</v>
      </c>
      <c r="B50" s="95" t="s">
        <v>804</v>
      </c>
      <c r="C50" s="95" t="s">
        <v>805</v>
      </c>
      <c r="D50" s="95" t="s">
        <v>134</v>
      </c>
      <c r="E50" s="95" t="s">
        <v>806</v>
      </c>
      <c r="F50" s="95" t="s">
        <v>807</v>
      </c>
      <c r="G50" s="95" t="s">
        <v>137</v>
      </c>
      <c r="H50" s="96" t="s">
        <v>15</v>
      </c>
      <c r="I50" s="97" t="s">
        <v>41</v>
      </c>
      <c r="J50" s="96" t="s">
        <v>15</v>
      </c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</row>
    <row r="51" spans="1:28">
      <c r="A51" s="94">
        <v>52</v>
      </c>
      <c r="B51" s="95" t="s">
        <v>808</v>
      </c>
      <c r="C51" s="95" t="s">
        <v>809</v>
      </c>
      <c r="D51" s="95" t="s">
        <v>134</v>
      </c>
      <c r="E51" s="95" t="s">
        <v>810</v>
      </c>
      <c r="F51" s="95" t="s">
        <v>807</v>
      </c>
      <c r="G51" s="95" t="s">
        <v>137</v>
      </c>
      <c r="H51" s="96" t="s">
        <v>15</v>
      </c>
      <c r="I51" s="97" t="s">
        <v>41</v>
      </c>
      <c r="J51" s="96" t="s">
        <v>15</v>
      </c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</row>
    <row r="52" spans="1:28">
      <c r="A52" s="94">
        <v>53</v>
      </c>
      <c r="B52" s="95" t="s">
        <v>811</v>
      </c>
      <c r="C52" s="95" t="s">
        <v>812</v>
      </c>
      <c r="D52" s="95" t="s">
        <v>711</v>
      </c>
      <c r="E52" s="95" t="s">
        <v>813</v>
      </c>
      <c r="F52" s="95" t="s">
        <v>807</v>
      </c>
      <c r="G52" s="95" t="s">
        <v>137</v>
      </c>
      <c r="H52" s="96" t="s">
        <v>15</v>
      </c>
      <c r="I52" s="97" t="s">
        <v>41</v>
      </c>
      <c r="J52" s="96" t="s">
        <v>15</v>
      </c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</row>
    <row r="53" spans="1:28">
      <c r="A53" s="94">
        <v>54</v>
      </c>
      <c r="B53" s="95" t="s">
        <v>814</v>
      </c>
      <c r="C53" s="95" t="s">
        <v>815</v>
      </c>
      <c r="D53" s="95" t="s">
        <v>134</v>
      </c>
      <c r="E53" s="95" t="s">
        <v>816</v>
      </c>
      <c r="F53" s="95" t="s">
        <v>807</v>
      </c>
      <c r="G53" s="95" t="s">
        <v>137</v>
      </c>
      <c r="H53" s="96" t="s">
        <v>15</v>
      </c>
      <c r="I53" s="97" t="s">
        <v>41</v>
      </c>
      <c r="J53" s="96" t="s">
        <v>15</v>
      </c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</row>
    <row r="54" spans="1:28">
      <c r="A54" s="94">
        <v>55</v>
      </c>
      <c r="B54" s="95" t="s">
        <v>817</v>
      </c>
      <c r="C54" s="95" t="s">
        <v>818</v>
      </c>
      <c r="D54" s="95" t="s">
        <v>134</v>
      </c>
      <c r="E54" s="95" t="s">
        <v>819</v>
      </c>
      <c r="F54" s="95" t="s">
        <v>807</v>
      </c>
      <c r="G54" s="95" t="s">
        <v>137</v>
      </c>
      <c r="H54" s="96" t="s">
        <v>15</v>
      </c>
      <c r="I54" s="97" t="s">
        <v>41</v>
      </c>
      <c r="J54" s="96" t="s">
        <v>15</v>
      </c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</row>
    <row r="55" spans="1:28">
      <c r="A55" s="94">
        <v>56</v>
      </c>
      <c r="B55" s="95" t="s">
        <v>820</v>
      </c>
      <c r="C55" s="95" t="s">
        <v>821</v>
      </c>
      <c r="D55" s="95" t="s">
        <v>711</v>
      </c>
      <c r="E55" s="95" t="s">
        <v>822</v>
      </c>
      <c r="F55" s="95" t="s">
        <v>807</v>
      </c>
      <c r="G55" s="95" t="s">
        <v>137</v>
      </c>
      <c r="H55" s="96" t="s">
        <v>15</v>
      </c>
      <c r="I55" s="97" t="s">
        <v>41</v>
      </c>
      <c r="J55" s="96" t="s">
        <v>15</v>
      </c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</row>
    <row r="56" spans="1:28">
      <c r="A56" s="94">
        <v>57</v>
      </c>
      <c r="B56" s="95" t="s">
        <v>823</v>
      </c>
      <c r="C56" s="95" t="s">
        <v>824</v>
      </c>
      <c r="D56" s="95" t="s">
        <v>134</v>
      </c>
      <c r="E56" s="95" t="s">
        <v>824</v>
      </c>
      <c r="F56" s="95" t="s">
        <v>825</v>
      </c>
      <c r="G56" s="95" t="s">
        <v>137</v>
      </c>
      <c r="H56" s="96" t="s">
        <v>15</v>
      </c>
      <c r="I56" s="97" t="s">
        <v>41</v>
      </c>
      <c r="J56" s="96" t="s">
        <v>15</v>
      </c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</row>
    <row r="57" spans="1:28">
      <c r="A57" s="94">
        <v>58</v>
      </c>
      <c r="B57" s="95" t="s">
        <v>826</v>
      </c>
      <c r="C57" s="95" t="s">
        <v>827</v>
      </c>
      <c r="D57" s="95" t="s">
        <v>134</v>
      </c>
      <c r="E57" s="95" t="s">
        <v>827</v>
      </c>
      <c r="F57" s="95" t="s">
        <v>825</v>
      </c>
      <c r="G57" s="95" t="s">
        <v>137</v>
      </c>
      <c r="H57" s="96" t="s">
        <v>15</v>
      </c>
      <c r="I57" s="97" t="s">
        <v>41</v>
      </c>
      <c r="J57" s="96" t="s">
        <v>15</v>
      </c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</row>
    <row r="58" spans="1:28">
      <c r="A58" s="94">
        <v>59</v>
      </c>
      <c r="B58" s="95" t="s">
        <v>828</v>
      </c>
      <c r="C58" s="95" t="s">
        <v>829</v>
      </c>
      <c r="D58" s="95" t="s">
        <v>134</v>
      </c>
      <c r="E58" s="95" t="s">
        <v>829</v>
      </c>
      <c r="F58" s="95" t="s">
        <v>830</v>
      </c>
      <c r="G58" s="95" t="s">
        <v>137</v>
      </c>
      <c r="H58" s="96" t="s">
        <v>15</v>
      </c>
      <c r="I58" s="97" t="s">
        <v>41</v>
      </c>
      <c r="J58" s="96" t="s">
        <v>15</v>
      </c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</row>
    <row r="59" spans="1:28">
      <c r="A59" s="94">
        <v>60</v>
      </c>
      <c r="B59" s="95" t="s">
        <v>831</v>
      </c>
      <c r="C59" s="95" t="s">
        <v>832</v>
      </c>
      <c r="D59" s="95" t="s">
        <v>134</v>
      </c>
      <c r="E59" s="95" t="s">
        <v>832</v>
      </c>
      <c r="F59" s="95" t="s">
        <v>833</v>
      </c>
      <c r="G59" s="95" t="s">
        <v>137</v>
      </c>
      <c r="H59" s="96" t="s">
        <v>15</v>
      </c>
      <c r="I59" s="97" t="s">
        <v>41</v>
      </c>
      <c r="J59" s="96" t="s">
        <v>15</v>
      </c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</row>
    <row r="60" spans="1:28">
      <c r="A60" s="94">
        <v>61</v>
      </c>
      <c r="B60" s="95" t="s">
        <v>834</v>
      </c>
      <c r="C60" s="95" t="s">
        <v>835</v>
      </c>
      <c r="D60" s="95" t="s">
        <v>134</v>
      </c>
      <c r="E60" s="95" t="s">
        <v>835</v>
      </c>
      <c r="F60" s="95" t="s">
        <v>825</v>
      </c>
      <c r="G60" s="95" t="s">
        <v>137</v>
      </c>
      <c r="H60" s="96" t="s">
        <v>15</v>
      </c>
      <c r="I60" s="97" t="s">
        <v>41</v>
      </c>
      <c r="J60" s="96" t="s">
        <v>15</v>
      </c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</row>
    <row r="61" spans="1:28">
      <c r="A61" s="94">
        <v>62</v>
      </c>
      <c r="B61" s="95" t="s">
        <v>836</v>
      </c>
      <c r="C61" s="95" t="s">
        <v>837</v>
      </c>
      <c r="D61" s="95" t="s">
        <v>134</v>
      </c>
      <c r="E61" s="95" t="s">
        <v>837</v>
      </c>
      <c r="F61" s="95" t="s">
        <v>825</v>
      </c>
      <c r="G61" s="95" t="s">
        <v>137</v>
      </c>
      <c r="H61" s="96" t="s">
        <v>15</v>
      </c>
      <c r="I61" s="97" t="s">
        <v>41</v>
      </c>
      <c r="J61" s="96" t="s">
        <v>15</v>
      </c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</row>
    <row r="62" spans="1:28">
      <c r="A62" s="94">
        <v>63</v>
      </c>
      <c r="B62" s="95" t="s">
        <v>838</v>
      </c>
      <c r="C62" s="95" t="s">
        <v>839</v>
      </c>
      <c r="D62" s="95" t="s">
        <v>134</v>
      </c>
      <c r="E62" s="95" t="s">
        <v>839</v>
      </c>
      <c r="F62" s="95" t="s">
        <v>830</v>
      </c>
      <c r="G62" s="95" t="s">
        <v>137</v>
      </c>
      <c r="H62" s="96" t="s">
        <v>15</v>
      </c>
      <c r="I62" s="97" t="s">
        <v>41</v>
      </c>
      <c r="J62" s="96" t="s">
        <v>15</v>
      </c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</row>
    <row r="63" spans="1:28">
      <c r="A63" s="94">
        <v>64</v>
      </c>
      <c r="B63" s="95" t="s">
        <v>840</v>
      </c>
      <c r="C63" s="95" t="s">
        <v>841</v>
      </c>
      <c r="D63" s="95" t="s">
        <v>134</v>
      </c>
      <c r="E63" s="95" t="s">
        <v>841</v>
      </c>
      <c r="F63" s="95" t="s">
        <v>833</v>
      </c>
      <c r="G63" s="95" t="s">
        <v>137</v>
      </c>
      <c r="H63" s="96" t="s">
        <v>15</v>
      </c>
      <c r="I63" s="97" t="s">
        <v>41</v>
      </c>
      <c r="J63" s="96" t="s">
        <v>15</v>
      </c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</row>
    <row r="64" spans="1:28">
      <c r="A64" s="94">
        <v>65</v>
      </c>
      <c r="B64" s="95" t="s">
        <v>842</v>
      </c>
      <c r="C64" s="95" t="s">
        <v>843</v>
      </c>
      <c r="D64" s="95" t="s">
        <v>711</v>
      </c>
      <c r="E64" s="95" t="s">
        <v>843</v>
      </c>
      <c r="F64" s="95" t="s">
        <v>825</v>
      </c>
      <c r="G64" s="95" t="s">
        <v>137</v>
      </c>
      <c r="H64" s="96" t="s">
        <v>15</v>
      </c>
      <c r="I64" s="97" t="s">
        <v>41</v>
      </c>
      <c r="J64" s="96" t="s">
        <v>15</v>
      </c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</row>
    <row r="65" spans="1:28">
      <c r="A65" s="94">
        <v>66</v>
      </c>
      <c r="B65" s="95" t="s">
        <v>844</v>
      </c>
      <c r="C65" s="95" t="s">
        <v>845</v>
      </c>
      <c r="D65" s="95" t="s">
        <v>711</v>
      </c>
      <c r="E65" s="95" t="s">
        <v>845</v>
      </c>
      <c r="F65" s="95" t="s">
        <v>830</v>
      </c>
      <c r="G65" s="95" t="s">
        <v>137</v>
      </c>
      <c r="H65" s="96" t="s">
        <v>15</v>
      </c>
      <c r="I65" s="97" t="s">
        <v>41</v>
      </c>
      <c r="J65" s="96" t="s">
        <v>15</v>
      </c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</row>
    <row r="66" spans="1:28">
      <c r="A66" s="94">
        <v>67</v>
      </c>
      <c r="B66" s="95" t="s">
        <v>846</v>
      </c>
      <c r="C66" s="95" t="s">
        <v>847</v>
      </c>
      <c r="D66" s="95" t="s">
        <v>711</v>
      </c>
      <c r="E66" s="95" t="s">
        <v>847</v>
      </c>
      <c r="F66" s="95" t="s">
        <v>833</v>
      </c>
      <c r="G66" s="95" t="s">
        <v>137</v>
      </c>
      <c r="H66" s="96" t="s">
        <v>15</v>
      </c>
      <c r="I66" s="97" t="s">
        <v>41</v>
      </c>
      <c r="J66" s="96" t="s">
        <v>15</v>
      </c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</row>
    <row r="67" spans="1:28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</row>
    <row r="68" spans="1:2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</row>
    <row r="69" spans="1:28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</row>
    <row r="70" spans="1:28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</row>
    <row r="71" spans="1:28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</row>
    <row r="72" spans="1:28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</row>
    <row r="73" spans="1:28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</row>
    <row r="74" spans="1:28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</row>
    <row r="75" spans="1:28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</row>
    <row r="76" spans="1:28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</row>
    <row r="77" spans="1:28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</row>
    <row r="78" spans="1:2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</row>
    <row r="79" spans="1:28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</row>
    <row r="80" spans="1:28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spans="1:28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</row>
    <row r="82" spans="1:28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</row>
    <row r="83" spans="1:28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</row>
    <row r="84" spans="1:28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</row>
    <row r="85" spans="1:28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</row>
    <row r="86" spans="1:28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</row>
    <row r="87" spans="1:28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</row>
    <row r="88" spans="1:2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</row>
    <row r="89" spans="1:28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</row>
    <row r="90" spans="1:28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</row>
    <row r="91" spans="1:28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</row>
    <row r="92" spans="1:28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</row>
    <row r="93" spans="1:28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</row>
    <row r="94" spans="1:28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</row>
    <row r="95" spans="1:28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</row>
    <row r="96" spans="1:28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</row>
    <row r="97" spans="1:28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</row>
    <row r="98" spans="1:2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</row>
    <row r="99" spans="1:28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</row>
    <row r="100" spans="1:28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</row>
    <row r="101" spans="1:28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</row>
    <row r="102" spans="1:28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</row>
    <row r="103" spans="1:28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</row>
    <row r="104" spans="1:28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</row>
    <row r="105" spans="1:28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</row>
    <row r="106" spans="1:28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</row>
    <row r="107" spans="1:28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</row>
    <row r="108" spans="1:2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</row>
    <row r="109" spans="1:28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</row>
    <row r="110" spans="1:28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</row>
    <row r="111" spans="1:28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</row>
    <row r="112" spans="1:28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</row>
    <row r="113" spans="1:28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</row>
    <row r="114" spans="1:28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</row>
    <row r="115" spans="1:28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</row>
    <row r="116" spans="1:28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</row>
    <row r="117" spans="1:28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</row>
    <row r="118" spans="1:2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</row>
    <row r="119" spans="1:28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</row>
    <row r="120" spans="1:28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 spans="1:28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</row>
    <row r="122" spans="1:28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</row>
    <row r="123" spans="1:28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</row>
    <row r="124" spans="1:28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</row>
    <row r="125" spans="1:28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</row>
    <row r="126" spans="1:28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</row>
    <row r="127" spans="1:28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</row>
    <row r="128" spans="1: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</row>
    <row r="129" spans="1:28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</row>
    <row r="130" spans="1:28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</row>
    <row r="131" spans="1:28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</row>
    <row r="132" spans="1:28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</row>
    <row r="133" spans="1:28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</row>
    <row r="134" spans="1:28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</row>
    <row r="135" spans="1:28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</row>
    <row r="136" spans="1:28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</row>
    <row r="137" spans="1:28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</row>
    <row r="138" spans="1:2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</row>
    <row r="139" spans="1:28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</row>
    <row r="140" spans="1:28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</row>
    <row r="141" spans="1:28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</row>
    <row r="142" spans="1:28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</row>
    <row r="143" spans="1:28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</row>
    <row r="144" spans="1:28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</row>
    <row r="145" spans="1:28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</row>
    <row r="146" spans="1:28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</row>
    <row r="147" spans="1:28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</row>
    <row r="148" spans="1:2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</row>
    <row r="149" spans="1:28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</row>
    <row r="150" spans="1:28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</row>
    <row r="151" spans="1:28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</row>
    <row r="152" spans="1:28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</row>
    <row r="153" spans="1:28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</row>
    <row r="154" spans="1:28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</row>
    <row r="155" spans="1:28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</row>
    <row r="156" spans="1:28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</row>
    <row r="157" spans="1:28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</row>
    <row r="158" spans="1:2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</row>
    <row r="159" spans="1:28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</row>
    <row r="160" spans="1:28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</row>
    <row r="161" spans="1:28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</row>
    <row r="162" spans="1:28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</row>
    <row r="163" spans="1:28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</row>
    <row r="164" spans="1:28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</row>
    <row r="165" spans="1:28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</row>
    <row r="166" spans="1:28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</row>
    <row r="167" spans="1:28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</row>
    <row r="168" spans="1:2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</row>
    <row r="169" spans="1:28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</row>
    <row r="170" spans="1:28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</row>
    <row r="171" spans="1:28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</row>
    <row r="172" spans="1:28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</row>
    <row r="173" spans="1:28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</row>
    <row r="174" spans="1:28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</row>
    <row r="175" spans="1:28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</row>
    <row r="176" spans="1:28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</row>
    <row r="177" spans="1:28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</row>
    <row r="178" spans="1:2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</row>
    <row r="179" spans="1:28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</row>
    <row r="180" spans="1:28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</row>
    <row r="181" spans="1:28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</row>
    <row r="182" spans="1:28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</row>
    <row r="183" spans="1:28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</row>
    <row r="184" spans="1:28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</row>
    <row r="185" spans="1:28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</row>
    <row r="186" spans="1:28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</row>
    <row r="187" spans="1:28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</row>
    <row r="188" spans="1:2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</row>
    <row r="189" spans="1:28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</row>
    <row r="190" spans="1:28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</row>
    <row r="191" spans="1:28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</row>
    <row r="192" spans="1:28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</row>
    <row r="193" spans="1:28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</row>
    <row r="194" spans="1:28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</row>
    <row r="195" spans="1:28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</row>
    <row r="196" spans="1:28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</row>
    <row r="197" spans="1:28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</row>
    <row r="198" spans="1:2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</row>
    <row r="199" spans="1:28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</row>
    <row r="200" spans="1:28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</row>
    <row r="201" spans="1:28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</row>
    <row r="202" spans="1:28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</row>
    <row r="203" spans="1:28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</row>
    <row r="204" spans="1:28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</row>
    <row r="205" spans="1:28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</row>
    <row r="206" spans="1:28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</row>
    <row r="207" spans="1:28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</row>
    <row r="208" spans="1:2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</row>
    <row r="209" spans="1:28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</row>
    <row r="210" spans="1:28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</row>
    <row r="211" spans="1:28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</row>
    <row r="212" spans="1:28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</row>
    <row r="213" spans="1:28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</row>
    <row r="214" spans="1:28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</row>
    <row r="215" spans="1:28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</row>
    <row r="216" spans="1:28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</row>
    <row r="217" spans="1:28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</row>
    <row r="218" spans="1:2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</row>
    <row r="219" spans="1:28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</row>
    <row r="220" spans="1:28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</row>
    <row r="221" spans="1:28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</row>
    <row r="222" spans="1:28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</row>
    <row r="223" spans="1:28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</row>
    <row r="224" spans="1:28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</row>
    <row r="225" spans="1:28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</row>
    <row r="226" spans="1:28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</row>
    <row r="227" spans="1:28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</row>
    <row r="228" spans="1: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</row>
    <row r="229" spans="1:28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</row>
    <row r="230" spans="1:28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</row>
    <row r="231" spans="1:28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</row>
    <row r="232" spans="1:28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</row>
    <row r="233" spans="1:28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</row>
    <row r="234" spans="1:28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</row>
    <row r="235" spans="1:28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</row>
    <row r="236" spans="1:28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</row>
    <row r="237" spans="1:28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</row>
    <row r="238" spans="1:2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</row>
    <row r="239" spans="1:28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</row>
    <row r="240" spans="1:28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</row>
    <row r="241" spans="1:28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</row>
    <row r="242" spans="1:28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</row>
    <row r="243" spans="1:28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</row>
    <row r="244" spans="1:28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</row>
    <row r="245" spans="1:28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</row>
    <row r="246" spans="1:28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</row>
    <row r="247" spans="1:28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</row>
    <row r="248" spans="1:2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</row>
    <row r="249" spans="1:28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</row>
    <row r="250" spans="1:28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</row>
    <row r="251" spans="1:28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</row>
    <row r="252" spans="1:28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</row>
    <row r="253" spans="1:28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</row>
    <row r="254" spans="1:28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</row>
    <row r="255" spans="1:28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</row>
    <row r="256" spans="1:28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</row>
    <row r="257" spans="1:28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</row>
    <row r="258" spans="1:2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</row>
    <row r="259" spans="1:28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</row>
    <row r="260" spans="1:28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</row>
    <row r="261" spans="1:28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</row>
    <row r="262" spans="1:28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</row>
    <row r="263" spans="1:28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</row>
    <row r="264" spans="1:28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</row>
    <row r="265" spans="1:28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</row>
    <row r="266" spans="1:28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</row>
    <row r="267" spans="1:28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</row>
    <row r="268" spans="1:2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</row>
    <row r="269" spans="1:28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</row>
    <row r="270" spans="1:28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</row>
    <row r="271" spans="1:28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</row>
    <row r="272" spans="1:28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</row>
    <row r="273" spans="1:28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</row>
    <row r="274" spans="1:28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</row>
    <row r="275" spans="1:28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</row>
    <row r="276" spans="1:28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</row>
    <row r="277" spans="1:28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</row>
    <row r="278" spans="1:2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</row>
    <row r="279" spans="1:28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</row>
    <row r="280" spans="1:28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</row>
    <row r="281" spans="1:28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</row>
    <row r="282" spans="1:28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</row>
    <row r="283" spans="1:28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</row>
    <row r="284" spans="1:28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</row>
    <row r="285" spans="1:28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</row>
    <row r="286" spans="1:28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</row>
    <row r="287" spans="1:28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</row>
    <row r="288" spans="1:2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</row>
    <row r="289" spans="1:28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</row>
    <row r="290" spans="1:28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</row>
    <row r="291" spans="1:28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</row>
    <row r="292" spans="1:28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</row>
    <row r="293" spans="1:28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</row>
    <row r="294" spans="1:28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</row>
    <row r="295" spans="1:28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</row>
    <row r="296" spans="1:28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</row>
    <row r="297" spans="1:28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</row>
    <row r="298" spans="1:2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</row>
    <row r="299" spans="1:28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</row>
    <row r="300" spans="1:28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</row>
    <row r="301" spans="1:28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</row>
    <row r="302" spans="1:28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</row>
    <row r="303" spans="1:28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</row>
    <row r="304" spans="1:28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</row>
    <row r="305" spans="1:28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</row>
    <row r="306" spans="1:28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</row>
    <row r="307" spans="1:28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</row>
    <row r="308" spans="1:2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</row>
    <row r="309" spans="1:28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</row>
    <row r="310" spans="1:28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</row>
    <row r="311" spans="1:28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</row>
    <row r="312" spans="1:28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</row>
    <row r="313" spans="1:28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</row>
    <row r="314" spans="1:28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</row>
    <row r="315" spans="1:28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</row>
    <row r="316" spans="1:28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</row>
    <row r="317" spans="1:28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</row>
    <row r="318" spans="1:2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</row>
    <row r="319" spans="1:28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</row>
    <row r="320" spans="1:28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</row>
    <row r="321" spans="1:28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</row>
    <row r="322" spans="1:28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</row>
    <row r="323" spans="1:28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</row>
    <row r="324" spans="1:28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</row>
    <row r="325" spans="1:28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</row>
    <row r="326" spans="1:28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</row>
    <row r="327" spans="1:28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</row>
    <row r="328" spans="1: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</row>
    <row r="329" spans="1:28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</row>
    <row r="330" spans="1:28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</row>
    <row r="331" spans="1:28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</row>
    <row r="332" spans="1:28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</row>
    <row r="333" spans="1:28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</row>
    <row r="334" spans="1:28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</row>
    <row r="335" spans="1:28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</row>
    <row r="336" spans="1:28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</row>
    <row r="337" spans="1:28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</row>
    <row r="338" spans="1:2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</row>
    <row r="339" spans="1:28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</row>
    <row r="340" spans="1:28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</row>
    <row r="341" spans="1:28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</row>
    <row r="342" spans="1:28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</row>
    <row r="343" spans="1:28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</row>
    <row r="344" spans="1:28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</row>
    <row r="345" spans="1:28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</row>
    <row r="346" spans="1:28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</row>
    <row r="347" spans="1:28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</row>
    <row r="348" spans="1:2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</row>
    <row r="349" spans="1:28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</row>
    <row r="350" spans="1:28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</row>
    <row r="351" spans="1:28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</row>
    <row r="352" spans="1:28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</row>
    <row r="353" spans="1:28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</row>
    <row r="354" spans="1:28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</row>
    <row r="355" spans="1:28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</row>
    <row r="356" spans="1:28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</row>
    <row r="357" spans="1:28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</row>
    <row r="358" spans="1:2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</row>
    <row r="359" spans="1:28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</row>
    <row r="360" spans="1:28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</row>
    <row r="361" spans="1:28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</row>
    <row r="362" spans="1:28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</row>
    <row r="363" spans="1:28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</row>
    <row r="364" spans="1:28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</row>
    <row r="365" spans="1:28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</row>
    <row r="366" spans="1:28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</row>
    <row r="367" spans="1:28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</row>
    <row r="368" spans="1:2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</row>
    <row r="369" spans="1:28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</row>
    <row r="370" spans="1:28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</row>
    <row r="371" spans="1:28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</row>
    <row r="372" spans="1:28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</row>
    <row r="373" spans="1:28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</row>
    <row r="374" spans="1:28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</row>
    <row r="375" spans="1:28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</row>
    <row r="376" spans="1:28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</row>
    <row r="377" spans="1:28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</row>
    <row r="378" spans="1:2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</row>
    <row r="379" spans="1:28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</row>
    <row r="380" spans="1:28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</row>
    <row r="381" spans="1:28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</row>
    <row r="382" spans="1:28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</row>
    <row r="383" spans="1:28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</row>
    <row r="384" spans="1:28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</row>
    <row r="385" spans="1:28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</row>
    <row r="386" spans="1:28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</row>
    <row r="387" spans="1:28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</row>
    <row r="388" spans="1:2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</row>
    <row r="389" spans="1:28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</row>
    <row r="390" spans="1:28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</row>
    <row r="391" spans="1:28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</row>
    <row r="392" spans="1:28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</row>
    <row r="393" spans="1:28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</row>
    <row r="394" spans="1:28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</row>
    <row r="395" spans="1:28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</row>
    <row r="396" spans="1:28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</row>
    <row r="397" spans="1:28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</row>
    <row r="398" spans="1:2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</row>
    <row r="399" spans="1:28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</row>
    <row r="400" spans="1:28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</row>
    <row r="401" spans="1:28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</row>
    <row r="402" spans="1:28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</row>
    <row r="403" spans="1:28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</row>
    <row r="404" spans="1:28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</row>
    <row r="405" spans="1:28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</row>
    <row r="406" spans="1:28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</row>
    <row r="407" spans="1:28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</row>
    <row r="408" spans="1:2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</row>
    <row r="409" spans="1:28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</row>
    <row r="410" spans="1:28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</row>
    <row r="411" spans="1:28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</row>
    <row r="412" spans="1:28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</row>
    <row r="413" spans="1:28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</row>
    <row r="414" spans="1:28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</row>
    <row r="415" spans="1:28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</row>
    <row r="416" spans="1:28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</row>
    <row r="417" spans="1:28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</row>
    <row r="418" spans="1:2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</row>
    <row r="419" spans="1:28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</row>
    <row r="420" spans="1:28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</row>
    <row r="421" spans="1:28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</row>
    <row r="422" spans="1:28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</row>
    <row r="423" spans="1:28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</row>
    <row r="424" spans="1:28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</row>
    <row r="425" spans="1:28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</row>
    <row r="426" spans="1:28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</row>
    <row r="427" spans="1:28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</row>
    <row r="428" spans="1: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</row>
    <row r="429" spans="1:28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</row>
    <row r="430" spans="1:28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</row>
    <row r="431" spans="1:28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</row>
    <row r="432" spans="1:28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</row>
    <row r="433" spans="1:28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</row>
    <row r="434" spans="1:28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</row>
    <row r="435" spans="1:28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</row>
    <row r="436" spans="1:28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</row>
    <row r="437" spans="1:28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</row>
    <row r="438" spans="1:2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</row>
    <row r="439" spans="1:28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</row>
    <row r="440" spans="1:28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</row>
    <row r="441" spans="1:28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</row>
    <row r="442" spans="1:28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</row>
    <row r="443" spans="1:28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</row>
    <row r="444" spans="1:28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</row>
    <row r="445" spans="1:28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</row>
    <row r="446" spans="1:28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</row>
    <row r="447" spans="1:28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</row>
    <row r="448" spans="1:2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</row>
    <row r="449" spans="1:28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</row>
    <row r="450" spans="1:28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</row>
    <row r="451" spans="1:28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</row>
    <row r="452" spans="1:28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</row>
    <row r="453" spans="1:28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</row>
    <row r="454" spans="1:28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</row>
    <row r="455" spans="1:28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</row>
    <row r="456" spans="1:28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</row>
    <row r="457" spans="1:28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</row>
    <row r="458" spans="1:2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</row>
    <row r="459" spans="1:28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</row>
    <row r="460" spans="1:28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</row>
    <row r="461" spans="1:28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</row>
    <row r="462" spans="1:28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</row>
    <row r="463" spans="1:28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</row>
    <row r="464" spans="1:28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</row>
    <row r="465" spans="1:28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</row>
    <row r="466" spans="1:28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</row>
    <row r="467" spans="1:28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</row>
    <row r="468" spans="1:2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</row>
    <row r="469" spans="1:28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</row>
    <row r="470" spans="1:28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</row>
    <row r="471" spans="1:28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</row>
    <row r="472" spans="1:28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</row>
    <row r="473" spans="1:28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</row>
    <row r="474" spans="1:28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</row>
    <row r="475" spans="1:28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</row>
    <row r="476" spans="1:28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</row>
    <row r="477" spans="1:28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</row>
    <row r="478" spans="1:2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</row>
    <row r="479" spans="1:28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</row>
    <row r="480" spans="1:28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</row>
    <row r="481" spans="1:28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</row>
    <row r="482" spans="1:28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</row>
    <row r="483" spans="1:28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</row>
    <row r="484" spans="1:28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</row>
    <row r="485" spans="1:28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</row>
    <row r="486" spans="1:28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</row>
    <row r="487" spans="1:28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</row>
    <row r="488" spans="1:2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</row>
    <row r="489" spans="1:28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</row>
    <row r="490" spans="1:28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</row>
    <row r="491" spans="1:28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</row>
    <row r="492" spans="1:28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</row>
    <row r="493" spans="1:28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</row>
    <row r="494" spans="1:28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</row>
    <row r="495" spans="1:28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</row>
    <row r="496" spans="1:28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</row>
    <row r="497" spans="1:28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</row>
    <row r="498" spans="1:2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</row>
    <row r="499" spans="1:28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</row>
    <row r="500" spans="1:28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</row>
    <row r="501" spans="1:28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</row>
    <row r="502" spans="1:28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</row>
    <row r="503" spans="1:28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</row>
    <row r="504" spans="1:28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</row>
    <row r="505" spans="1:28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</row>
    <row r="506" spans="1:28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</row>
    <row r="507" spans="1:28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</row>
    <row r="508" spans="1:2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</row>
    <row r="509" spans="1:28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</row>
    <row r="510" spans="1:28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</row>
    <row r="511" spans="1:28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</row>
    <row r="512" spans="1:28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</row>
    <row r="513" spans="1:28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</row>
    <row r="514" spans="1:28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</row>
    <row r="515" spans="1:28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</row>
    <row r="516" spans="1:28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</row>
    <row r="517" spans="1:28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</row>
    <row r="518" spans="1:2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</row>
    <row r="519" spans="1:28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</row>
    <row r="520" spans="1:28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</row>
    <row r="521" spans="1:28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</row>
    <row r="522" spans="1:28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</row>
    <row r="523" spans="1:28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</row>
    <row r="524" spans="1:28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</row>
    <row r="525" spans="1:28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</row>
    <row r="526" spans="1:28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</row>
    <row r="527" spans="1:28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</row>
    <row r="528" spans="1: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</row>
    <row r="529" spans="1:28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</row>
    <row r="530" spans="1:28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</row>
    <row r="531" spans="1:28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</row>
    <row r="532" spans="1:28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</row>
    <row r="533" spans="1:28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</row>
    <row r="534" spans="1:28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</row>
    <row r="535" spans="1:28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</row>
    <row r="536" spans="1:28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</row>
    <row r="537" spans="1:28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</row>
    <row r="538" spans="1:2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</row>
    <row r="539" spans="1:28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</row>
    <row r="540" spans="1:28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</row>
    <row r="541" spans="1:28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</row>
    <row r="542" spans="1:28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</row>
    <row r="543" spans="1:28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</row>
    <row r="544" spans="1:28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</row>
    <row r="545" spans="1:28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</row>
    <row r="546" spans="1:28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</row>
    <row r="547" spans="1:28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</row>
    <row r="548" spans="1:2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</row>
    <row r="549" spans="1:28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</row>
    <row r="550" spans="1:28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</row>
    <row r="551" spans="1:28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</row>
    <row r="552" spans="1:28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</row>
    <row r="553" spans="1:28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</row>
    <row r="554" spans="1:28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</row>
    <row r="555" spans="1:28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</row>
    <row r="556" spans="1:28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</row>
    <row r="557" spans="1:28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</row>
    <row r="558" spans="1:2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</row>
    <row r="559" spans="1:28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</row>
    <row r="560" spans="1:28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</row>
    <row r="561" spans="1:28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</row>
    <row r="562" spans="1:28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</row>
    <row r="563" spans="1:28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</row>
    <row r="564" spans="1:28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</row>
    <row r="565" spans="1:28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</row>
    <row r="566" spans="1:28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</row>
    <row r="567" spans="1:28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</row>
    <row r="568" spans="1:2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</row>
    <row r="569" spans="1:28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</row>
    <row r="570" spans="1:28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</row>
    <row r="571" spans="1:28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</row>
    <row r="572" spans="1:28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</row>
    <row r="573" spans="1:28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</row>
    <row r="574" spans="1:28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</row>
    <row r="575" spans="1:28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</row>
    <row r="576" spans="1:28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</row>
    <row r="577" spans="1:28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</row>
    <row r="578" spans="1:2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</row>
    <row r="579" spans="1:28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</row>
    <row r="580" spans="1:28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</row>
    <row r="581" spans="1:28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</row>
    <row r="582" spans="1:28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</row>
    <row r="583" spans="1:28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</row>
    <row r="584" spans="1:28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</row>
    <row r="585" spans="1:28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</row>
    <row r="586" spans="1:28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</row>
    <row r="587" spans="1:28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</row>
    <row r="588" spans="1:2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</row>
    <row r="589" spans="1:28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</row>
    <row r="590" spans="1:28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</row>
    <row r="591" spans="1:28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</row>
    <row r="592" spans="1:28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</row>
    <row r="593" spans="1:28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</row>
    <row r="594" spans="1:28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</row>
    <row r="595" spans="1:28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</row>
    <row r="596" spans="1:28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</row>
    <row r="597" spans="1:28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</row>
    <row r="598" spans="1:2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</row>
    <row r="599" spans="1:28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</row>
    <row r="600" spans="1:28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</row>
    <row r="601" spans="1:28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</row>
    <row r="602" spans="1:28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</row>
    <row r="603" spans="1:28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</row>
    <row r="604" spans="1:28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</row>
    <row r="605" spans="1:28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</row>
    <row r="606" spans="1:28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</row>
    <row r="607" spans="1:28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</row>
    <row r="608" spans="1:2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</row>
    <row r="609" spans="1:28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</row>
    <row r="610" spans="1:28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</row>
    <row r="611" spans="1:28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</row>
    <row r="612" spans="1:28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</row>
    <row r="613" spans="1:28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</row>
    <row r="614" spans="1:28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</row>
    <row r="615" spans="1:28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</row>
    <row r="616" spans="1:28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</row>
    <row r="617" spans="1:28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</row>
    <row r="618" spans="1:2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</row>
    <row r="619" spans="1:28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</row>
    <row r="620" spans="1:28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</row>
    <row r="621" spans="1:28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</row>
    <row r="622" spans="1:28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</row>
    <row r="623" spans="1:28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</row>
    <row r="624" spans="1:28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</row>
    <row r="625" spans="1:28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</row>
    <row r="626" spans="1:28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</row>
    <row r="627" spans="1:28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</row>
    <row r="628" spans="1: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</row>
    <row r="629" spans="1:28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</row>
    <row r="630" spans="1:28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</row>
    <row r="631" spans="1:28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</row>
    <row r="632" spans="1:28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</row>
    <row r="633" spans="1:28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</row>
    <row r="634" spans="1:28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</row>
    <row r="635" spans="1:28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</row>
    <row r="636" spans="1:28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</row>
    <row r="637" spans="1:28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</row>
    <row r="638" spans="1:2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</row>
    <row r="639" spans="1:28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</row>
    <row r="640" spans="1:28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</row>
    <row r="641" spans="1:28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</row>
    <row r="642" spans="1:28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</row>
    <row r="643" spans="1:28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</row>
    <row r="644" spans="1:28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</row>
    <row r="645" spans="1:28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</row>
    <row r="646" spans="1:28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</row>
    <row r="647" spans="1:28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</row>
    <row r="648" spans="1:2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</row>
    <row r="649" spans="1:28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</row>
    <row r="650" spans="1:28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</row>
    <row r="651" spans="1:28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</row>
    <row r="652" spans="1:28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</row>
    <row r="653" spans="1:28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</row>
    <row r="654" spans="1:28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</row>
    <row r="655" spans="1:28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</row>
    <row r="656" spans="1:28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</row>
    <row r="657" spans="1:28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</row>
    <row r="658" spans="1:2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</row>
    <row r="659" spans="1:28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</row>
    <row r="660" spans="1:28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</row>
    <row r="661" spans="1:28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</row>
    <row r="662" spans="1:28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</row>
    <row r="663" spans="1:28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</row>
    <row r="664" spans="1:28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</row>
    <row r="665" spans="1:28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</row>
    <row r="666" spans="1:28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</row>
    <row r="667" spans="1:28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</row>
    <row r="668" spans="1:2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</row>
    <row r="669" spans="1:28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</row>
    <row r="670" spans="1:28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</row>
    <row r="671" spans="1:28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</row>
    <row r="672" spans="1:28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</row>
    <row r="673" spans="1:28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</row>
    <row r="674" spans="1:28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</row>
    <row r="675" spans="1:28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</row>
    <row r="676" spans="1:28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</row>
    <row r="677" spans="1:28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</row>
    <row r="678" spans="1:2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</row>
    <row r="679" spans="1:28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</row>
    <row r="680" spans="1:28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</row>
    <row r="681" spans="1:28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</row>
    <row r="682" spans="1:28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</row>
    <row r="683" spans="1:28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</row>
    <row r="684" spans="1:28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</row>
    <row r="685" spans="1:28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</row>
    <row r="686" spans="1:28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</row>
    <row r="687" spans="1:28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</row>
    <row r="688" spans="1:2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</row>
    <row r="689" spans="1:28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</row>
    <row r="690" spans="1:28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</row>
    <row r="691" spans="1:28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</row>
    <row r="692" spans="1:28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</row>
    <row r="693" spans="1:28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</row>
    <row r="694" spans="1:28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</row>
    <row r="695" spans="1:28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</row>
    <row r="696" spans="1:28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</row>
    <row r="697" spans="1:28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</row>
    <row r="698" spans="1:2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</row>
    <row r="699" spans="1:28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</row>
    <row r="700" spans="1:28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</row>
    <row r="701" spans="1:28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</row>
    <row r="702" spans="1:28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</row>
    <row r="703" spans="1:28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</row>
    <row r="704" spans="1:28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</row>
    <row r="705" spans="1:28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</row>
    <row r="706" spans="1:28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</row>
    <row r="707" spans="1:28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</row>
    <row r="708" spans="1:2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</row>
    <row r="709" spans="1:28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</row>
    <row r="710" spans="1:28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</row>
    <row r="711" spans="1:28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</row>
    <row r="712" spans="1:28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</row>
    <row r="713" spans="1:28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</row>
    <row r="714" spans="1:28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</row>
    <row r="715" spans="1:28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</row>
    <row r="716" spans="1:28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</row>
    <row r="717" spans="1:28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</row>
    <row r="718" spans="1:2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</row>
    <row r="719" spans="1:28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</row>
    <row r="720" spans="1:28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</row>
    <row r="721" spans="1:28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</row>
    <row r="722" spans="1:28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</row>
    <row r="723" spans="1:28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</row>
    <row r="724" spans="1:28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</row>
    <row r="725" spans="1:28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</row>
    <row r="726" spans="1:28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</row>
    <row r="727" spans="1:28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</row>
    <row r="728" spans="1: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</row>
    <row r="729" spans="1:28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</row>
    <row r="730" spans="1:28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</row>
    <row r="731" spans="1:28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</row>
    <row r="732" spans="1:28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</row>
    <row r="733" spans="1:28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</row>
    <row r="734" spans="1:28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</row>
    <row r="735" spans="1:28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</row>
    <row r="736" spans="1:28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</row>
    <row r="737" spans="1:28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</row>
    <row r="738" spans="1:2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</row>
    <row r="739" spans="1:28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</row>
    <row r="740" spans="1:28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</row>
    <row r="741" spans="1:28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</row>
    <row r="742" spans="1:28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</row>
    <row r="743" spans="1:28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</row>
    <row r="744" spans="1:28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</row>
    <row r="745" spans="1:28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</row>
    <row r="746" spans="1:28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</row>
    <row r="747" spans="1:28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</row>
    <row r="748" spans="1:2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</row>
    <row r="749" spans="1:28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</row>
    <row r="750" spans="1:28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</row>
    <row r="751" spans="1:28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</row>
    <row r="752" spans="1:28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</row>
    <row r="753" spans="1:28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</row>
    <row r="754" spans="1:28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</row>
    <row r="755" spans="1:28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</row>
    <row r="756" spans="1:28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</row>
    <row r="757" spans="1:28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</row>
    <row r="758" spans="1:2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</row>
    <row r="759" spans="1:28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</row>
    <row r="760" spans="1:28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</row>
    <row r="761" spans="1:28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</row>
    <row r="762" spans="1:28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</row>
    <row r="763" spans="1:28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</row>
    <row r="764" spans="1:28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</row>
    <row r="765" spans="1:28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</row>
    <row r="766" spans="1:28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</row>
    <row r="767" spans="1:28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</row>
    <row r="768" spans="1:2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</row>
    <row r="769" spans="1:28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</row>
    <row r="770" spans="1:28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</row>
    <row r="771" spans="1:28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</row>
    <row r="772" spans="1:28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</row>
    <row r="773" spans="1:28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</row>
    <row r="774" spans="1:28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</row>
    <row r="775" spans="1:28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</row>
    <row r="776" spans="1:28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</row>
    <row r="777" spans="1:28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</row>
    <row r="778" spans="1:2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</row>
    <row r="779" spans="1:28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</row>
    <row r="780" spans="1:28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</row>
    <row r="781" spans="1:28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</row>
    <row r="782" spans="1:28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</row>
    <row r="783" spans="1:28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</row>
    <row r="784" spans="1:28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</row>
    <row r="785" spans="1:28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</row>
    <row r="786" spans="1:28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</row>
    <row r="787" spans="1:28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</row>
    <row r="788" spans="1:2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</row>
    <row r="789" spans="1:28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</row>
    <row r="790" spans="1:28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</row>
    <row r="791" spans="1:28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</row>
    <row r="792" spans="1:28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</row>
    <row r="793" spans="1:28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</row>
    <row r="794" spans="1:28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</row>
    <row r="795" spans="1:28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</row>
    <row r="796" spans="1:28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</row>
    <row r="797" spans="1:28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</row>
    <row r="798" spans="1:2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</row>
    <row r="799" spans="1:28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</row>
    <row r="800" spans="1:28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</row>
    <row r="801" spans="1:28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</row>
    <row r="802" spans="1:28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</row>
    <row r="803" spans="1:28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</row>
    <row r="804" spans="1:28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</row>
    <row r="805" spans="1:28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</row>
    <row r="806" spans="1:28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</row>
    <row r="807" spans="1:28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</row>
    <row r="808" spans="1:2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</row>
    <row r="809" spans="1:28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</row>
    <row r="810" spans="1:28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</row>
    <row r="811" spans="1:28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</row>
    <row r="812" spans="1:28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</row>
    <row r="813" spans="1:28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</row>
    <row r="814" spans="1:28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</row>
    <row r="815" spans="1:28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</row>
    <row r="816" spans="1:28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</row>
    <row r="817" spans="1:28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</row>
    <row r="818" spans="1:2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</row>
    <row r="819" spans="1:28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</row>
    <row r="820" spans="1:28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</row>
    <row r="821" spans="1:28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</row>
    <row r="822" spans="1:28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</row>
    <row r="823" spans="1:28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</row>
    <row r="824" spans="1:28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</row>
    <row r="825" spans="1:28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</row>
    <row r="826" spans="1:28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</row>
    <row r="827" spans="1:28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</row>
    <row r="828" spans="1: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</row>
    <row r="829" spans="1:28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</row>
    <row r="830" spans="1:28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</row>
    <row r="831" spans="1:28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</row>
    <row r="832" spans="1:28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</row>
    <row r="833" spans="1:28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</row>
    <row r="834" spans="1:28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</row>
    <row r="835" spans="1:28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</row>
    <row r="836" spans="1:28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</row>
    <row r="837" spans="1:28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</row>
    <row r="838" spans="1:2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</row>
    <row r="839" spans="1:28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</row>
    <row r="840" spans="1:28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</row>
    <row r="841" spans="1:28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</row>
    <row r="842" spans="1:28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</row>
    <row r="843" spans="1:28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</row>
    <row r="844" spans="1:28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</row>
    <row r="845" spans="1:28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</row>
    <row r="846" spans="1:28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</row>
    <row r="847" spans="1:28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</row>
    <row r="848" spans="1:2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</row>
    <row r="849" spans="1:28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</row>
    <row r="850" spans="1:28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</row>
    <row r="851" spans="1:28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</row>
    <row r="852" spans="1:28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</row>
    <row r="853" spans="1:28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</row>
    <row r="854" spans="1:28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</row>
    <row r="855" spans="1:28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</row>
    <row r="856" spans="1:28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</row>
    <row r="857" spans="1:28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</row>
    <row r="858" spans="1:2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</row>
    <row r="859" spans="1:28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</row>
    <row r="860" spans="1:28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</row>
    <row r="861" spans="1:28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</row>
    <row r="862" spans="1:28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</row>
    <row r="863" spans="1:28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</row>
    <row r="864" spans="1:28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</row>
    <row r="865" spans="1:28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</row>
    <row r="866" spans="1:28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</row>
    <row r="867" spans="1:28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</row>
    <row r="868" spans="1:2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</row>
    <row r="869" spans="1:28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</row>
    <row r="870" spans="1:28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</row>
    <row r="871" spans="1:28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</row>
    <row r="872" spans="1:28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</row>
    <row r="873" spans="1:28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</row>
    <row r="874" spans="1:28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</row>
    <row r="875" spans="1:28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</row>
    <row r="876" spans="1:28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</row>
    <row r="877" spans="1:28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</row>
    <row r="878" spans="1:2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</row>
    <row r="879" spans="1:28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</row>
    <row r="880" spans="1:28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</row>
    <row r="881" spans="1:28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</row>
    <row r="882" spans="1:28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</row>
    <row r="883" spans="1:28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</row>
    <row r="884" spans="1:28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</row>
    <row r="885" spans="1:28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</row>
    <row r="886" spans="1:28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</row>
    <row r="887" spans="1:28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</row>
    <row r="888" spans="1:2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</row>
    <row r="889" spans="1:28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</row>
    <row r="890" spans="1:28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</row>
    <row r="891" spans="1:28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</row>
    <row r="892" spans="1:28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</row>
    <row r="893" spans="1:28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</row>
    <row r="894" spans="1:28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</row>
    <row r="895" spans="1:28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</row>
    <row r="896" spans="1:28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</row>
    <row r="897" spans="1:28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</row>
    <row r="898" spans="1:2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</row>
    <row r="899" spans="1:28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</row>
    <row r="900" spans="1:28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</row>
    <row r="901" spans="1:28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</row>
    <row r="902" spans="1:28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</row>
    <row r="903" spans="1:28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</row>
    <row r="904" spans="1:28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</row>
    <row r="905" spans="1:28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</row>
    <row r="906" spans="1:28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</row>
    <row r="907" spans="1:28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</row>
    <row r="908" spans="1:2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</row>
    <row r="909" spans="1:28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</row>
    <row r="910" spans="1:28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</row>
    <row r="911" spans="1:28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</row>
    <row r="912" spans="1:28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</row>
    <row r="913" spans="1:28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</row>
    <row r="914" spans="1:28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</row>
    <row r="915" spans="1:28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</row>
    <row r="916" spans="1:28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</row>
    <row r="917" spans="1:28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</row>
    <row r="918" spans="1:2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</row>
    <row r="919" spans="1:28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</row>
    <row r="920" spans="1:28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</row>
    <row r="921" spans="1:28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</row>
    <row r="922" spans="1:28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</row>
    <row r="923" spans="1:28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</row>
    <row r="924" spans="1:28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</row>
    <row r="925" spans="1:28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</row>
    <row r="926" spans="1:28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</row>
    <row r="927" spans="1:28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</row>
    <row r="928" spans="1: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</row>
    <row r="929" spans="1:28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</row>
    <row r="930" spans="1:28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</row>
    <row r="931" spans="1:28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</row>
    <row r="932" spans="1:28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</row>
    <row r="933" spans="1:28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</row>
    <row r="934" spans="1:28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</row>
    <row r="935" spans="1:28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</row>
    <row r="936" spans="1:28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</row>
    <row r="937" spans="1:28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</row>
    <row r="938" spans="1:2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</row>
    <row r="939" spans="1:28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</row>
    <row r="940" spans="1:28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</row>
    <row r="941" spans="1:28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</row>
    <row r="942" spans="1:28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</row>
    <row r="943" spans="1:28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</row>
    <row r="944" spans="1:28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</row>
    <row r="945" spans="1:28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</row>
    <row r="946" spans="1:28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</row>
    <row r="947" spans="1:28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</row>
    <row r="948" spans="1:2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</row>
    <row r="949" spans="1:28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</row>
    <row r="950" spans="1:28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</row>
    <row r="951" spans="1:28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</row>
    <row r="952" spans="1:28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</row>
    <row r="953" spans="1:28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</row>
    <row r="954" spans="1:28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</row>
    <row r="955" spans="1:28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</row>
    <row r="956" spans="1:28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</row>
    <row r="957" spans="1:28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</row>
    <row r="958" spans="1:2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</row>
    <row r="959" spans="1:28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</row>
    <row r="960" spans="1:28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</row>
    <row r="961" spans="1:28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</row>
    <row r="962" spans="1:28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</row>
    <row r="963" spans="1:28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</row>
    <row r="964" spans="1:28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</row>
    <row r="965" spans="1:28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</row>
    <row r="966" spans="1:28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</row>
    <row r="967" spans="1:28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</row>
    <row r="968" spans="1:2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</row>
    <row r="969" spans="1:28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</row>
    <row r="970" spans="1:28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</row>
    <row r="971" spans="1:28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</row>
    <row r="972" spans="1:28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</row>
    <row r="973" spans="1:28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</row>
    <row r="974" spans="1:28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</row>
    <row r="975" spans="1:28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</row>
    <row r="976" spans="1:28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</row>
    <row r="977" spans="1:28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</row>
    <row r="978" spans="1:2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</row>
    <row r="979" spans="1:28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</row>
    <row r="980" spans="1:28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</row>
    <row r="981" spans="1:28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</row>
    <row r="982" spans="1:28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</row>
    <row r="983" spans="1:28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</row>
    <row r="984" spans="1:28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</row>
    <row r="985" spans="1:28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</row>
    <row r="986" spans="1:28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</row>
    <row r="987" spans="1:28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</row>
    <row r="988" spans="1:2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</row>
    <row r="989" spans="1:28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</row>
  </sheetData>
  <dataValidations count="1">
    <dataValidation type="list" allowBlank="1" sqref="H2:J66" xr:uid="{00000000-0002-0000-0300-000000000000}">
      <formula1>"Pass,Fail,Pending,N/A"</formula1>
    </dataValidation>
  </dataValidation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000"/>
  <sheetViews>
    <sheetView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5" customWidth="1"/>
    <col min="2" max="2" width="9" customWidth="1"/>
    <col min="3" max="3" width="8.7109375" style="105" customWidth="1"/>
    <col min="4" max="4" width="9.5703125" customWidth="1"/>
    <col min="5" max="8" width="8.7109375" customWidth="1"/>
    <col min="9" max="9" width="15.42578125" customWidth="1"/>
    <col min="10" max="10" width="33.140625" customWidth="1"/>
    <col min="11" max="11" width="17.140625" customWidth="1"/>
    <col min="12" max="13" width="8.7109375" customWidth="1"/>
    <col min="14" max="14" width="15.5703125" customWidth="1"/>
    <col min="15" max="17" width="8.7109375" customWidth="1"/>
    <col min="18" max="18" width="9" customWidth="1"/>
    <col min="19" max="24" width="8.7109375" customWidth="1"/>
    <col min="25" max="25" width="11.140625" customWidth="1"/>
    <col min="26" max="26" width="10.140625" customWidth="1"/>
    <col min="27" max="41" width="8.7109375" customWidth="1"/>
  </cols>
  <sheetData>
    <row r="1" spans="1:41">
      <c r="A1" s="98" t="s">
        <v>848</v>
      </c>
      <c r="B1" s="91" t="s">
        <v>31</v>
      </c>
      <c r="C1" s="91" t="s">
        <v>112</v>
      </c>
      <c r="D1" s="91" t="s">
        <v>113</v>
      </c>
      <c r="E1" s="91" t="s">
        <v>114</v>
      </c>
      <c r="F1" s="91" t="s">
        <v>115</v>
      </c>
      <c r="G1" s="91" t="s">
        <v>116</v>
      </c>
      <c r="H1" s="91" t="s">
        <v>117</v>
      </c>
      <c r="I1" s="91" t="s">
        <v>32</v>
      </c>
      <c r="J1" s="91" t="s">
        <v>33</v>
      </c>
      <c r="K1" s="91" t="s">
        <v>34</v>
      </c>
      <c r="L1" s="91" t="s">
        <v>118</v>
      </c>
      <c r="M1" s="91" t="s">
        <v>119</v>
      </c>
      <c r="N1" s="91" t="s">
        <v>120</v>
      </c>
      <c r="O1" s="91" t="s">
        <v>121</v>
      </c>
      <c r="P1" s="91" t="s">
        <v>122</v>
      </c>
      <c r="Q1" s="91" t="s">
        <v>123</v>
      </c>
      <c r="R1" s="91" t="s">
        <v>124</v>
      </c>
      <c r="S1" s="91" t="s">
        <v>125</v>
      </c>
      <c r="T1" s="91" t="s">
        <v>126</v>
      </c>
      <c r="U1" s="99" t="s">
        <v>127</v>
      </c>
      <c r="V1" s="99" t="s">
        <v>128</v>
      </c>
      <c r="W1" s="99" t="s">
        <v>129</v>
      </c>
      <c r="X1" s="99" t="s">
        <v>130</v>
      </c>
      <c r="Y1" s="99" t="s">
        <v>131</v>
      </c>
      <c r="Z1" s="99" t="s">
        <v>132</v>
      </c>
      <c r="AA1" s="91" t="s">
        <v>849</v>
      </c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</row>
    <row r="2" spans="1:41">
      <c r="A2" s="100">
        <v>1</v>
      </c>
      <c r="B2" s="100" t="s">
        <v>133</v>
      </c>
      <c r="C2" s="101" t="s">
        <v>134</v>
      </c>
      <c r="D2" s="101" t="s">
        <v>134</v>
      </c>
      <c r="E2" s="101" t="s">
        <v>134</v>
      </c>
      <c r="F2" s="100" t="s">
        <v>134</v>
      </c>
      <c r="G2" s="100" t="s">
        <v>134</v>
      </c>
      <c r="H2" s="100" t="s">
        <v>134</v>
      </c>
      <c r="I2" s="100" t="s">
        <v>135</v>
      </c>
      <c r="J2" s="100" t="s">
        <v>850</v>
      </c>
      <c r="K2" s="100" t="s">
        <v>136</v>
      </c>
      <c r="L2" s="100"/>
      <c r="M2" s="100" t="s">
        <v>137</v>
      </c>
      <c r="N2" s="100"/>
      <c r="O2" s="102" t="s">
        <v>15</v>
      </c>
      <c r="P2" s="102" t="s">
        <v>15</v>
      </c>
      <c r="Q2" s="102" t="s">
        <v>15</v>
      </c>
      <c r="R2" s="102" t="s">
        <v>15</v>
      </c>
      <c r="S2" s="102" t="s">
        <v>15</v>
      </c>
      <c r="T2" s="102" t="s">
        <v>15</v>
      </c>
      <c r="U2" s="103" t="s">
        <v>41</v>
      </c>
      <c r="V2" s="103" t="s">
        <v>41</v>
      </c>
      <c r="W2" s="103" t="s">
        <v>41</v>
      </c>
      <c r="X2" s="103" t="s">
        <v>41</v>
      </c>
      <c r="Y2" s="103" t="s">
        <v>41</v>
      </c>
      <c r="Z2" s="103" t="s">
        <v>41</v>
      </c>
      <c r="AA2" s="100" t="s">
        <v>134</v>
      </c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</row>
    <row r="3" spans="1:41">
      <c r="A3" s="100">
        <v>2</v>
      </c>
      <c r="B3" s="100" t="s">
        <v>138</v>
      </c>
      <c r="C3" s="101" t="s">
        <v>134</v>
      </c>
      <c r="D3" s="101" t="s">
        <v>134</v>
      </c>
      <c r="E3" s="101" t="s">
        <v>134</v>
      </c>
      <c r="F3" s="100" t="s">
        <v>134</v>
      </c>
      <c r="G3" s="100" t="s">
        <v>134</v>
      </c>
      <c r="H3" s="100" t="s">
        <v>134</v>
      </c>
      <c r="I3" s="100" t="s">
        <v>139</v>
      </c>
      <c r="J3" s="100" t="s">
        <v>851</v>
      </c>
      <c r="K3" s="100" t="s">
        <v>136</v>
      </c>
      <c r="L3" s="100"/>
      <c r="M3" s="100" t="s">
        <v>137</v>
      </c>
      <c r="N3" s="100"/>
      <c r="O3" s="102" t="s">
        <v>15</v>
      </c>
      <c r="P3" s="102" t="s">
        <v>15</v>
      </c>
      <c r="Q3" s="102" t="s">
        <v>15</v>
      </c>
      <c r="R3" s="102" t="s">
        <v>15</v>
      </c>
      <c r="S3" s="102" t="s">
        <v>15</v>
      </c>
      <c r="T3" s="102" t="s">
        <v>15</v>
      </c>
      <c r="U3" s="103" t="s">
        <v>41</v>
      </c>
      <c r="V3" s="103" t="s">
        <v>41</v>
      </c>
      <c r="W3" s="103" t="s">
        <v>41</v>
      </c>
      <c r="X3" s="103" t="s">
        <v>41</v>
      </c>
      <c r="Y3" s="103" t="s">
        <v>41</v>
      </c>
      <c r="Z3" s="103" t="s">
        <v>41</v>
      </c>
      <c r="AA3" s="100" t="s">
        <v>134</v>
      </c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</row>
    <row r="4" spans="1:41">
      <c r="A4" s="100">
        <v>3</v>
      </c>
      <c r="B4" s="100" t="s">
        <v>140</v>
      </c>
      <c r="C4" s="101" t="s">
        <v>141</v>
      </c>
      <c r="D4" s="101" t="s">
        <v>141</v>
      </c>
      <c r="E4" s="101" t="s">
        <v>141</v>
      </c>
      <c r="F4" s="100" t="s">
        <v>141</v>
      </c>
      <c r="G4" s="100" t="s">
        <v>141</v>
      </c>
      <c r="H4" s="100" t="s">
        <v>134</v>
      </c>
      <c r="I4" s="100" t="s">
        <v>142</v>
      </c>
      <c r="J4" s="100" t="s">
        <v>852</v>
      </c>
      <c r="K4" s="100" t="s">
        <v>144</v>
      </c>
      <c r="L4" s="100" t="s">
        <v>145</v>
      </c>
      <c r="M4" s="100" t="s">
        <v>137</v>
      </c>
      <c r="N4" s="100" t="s">
        <v>853</v>
      </c>
      <c r="O4" s="102" t="s">
        <v>15</v>
      </c>
      <c r="P4" s="102" t="s">
        <v>15</v>
      </c>
      <c r="Q4" s="102" t="s">
        <v>15</v>
      </c>
      <c r="R4" s="102" t="s">
        <v>15</v>
      </c>
      <c r="S4" s="102" t="s">
        <v>15</v>
      </c>
      <c r="T4" s="102" t="s">
        <v>15</v>
      </c>
      <c r="U4" s="102" t="s">
        <v>15</v>
      </c>
      <c r="V4" s="102" t="s">
        <v>15</v>
      </c>
      <c r="W4" s="103" t="s">
        <v>41</v>
      </c>
      <c r="X4" s="102" t="s">
        <v>15</v>
      </c>
      <c r="Y4" s="102" t="s">
        <v>15</v>
      </c>
      <c r="Z4" s="102" t="s">
        <v>15</v>
      </c>
      <c r="AA4" s="100" t="s">
        <v>134</v>
      </c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</row>
    <row r="5" spans="1:41">
      <c r="A5" s="100">
        <v>4</v>
      </c>
      <c r="B5" s="100" t="s">
        <v>146</v>
      </c>
      <c r="C5" s="101" t="s">
        <v>141</v>
      </c>
      <c r="D5" s="101" t="s">
        <v>141</v>
      </c>
      <c r="E5" s="101" t="s">
        <v>141</v>
      </c>
      <c r="F5" s="100" t="s">
        <v>141</v>
      </c>
      <c r="G5" s="100" t="s">
        <v>141</v>
      </c>
      <c r="H5" s="100" t="s">
        <v>134</v>
      </c>
      <c r="I5" s="100" t="s">
        <v>147</v>
      </c>
      <c r="J5" s="100" t="s">
        <v>854</v>
      </c>
      <c r="K5" s="100" t="s">
        <v>144</v>
      </c>
      <c r="L5" s="100" t="s">
        <v>145</v>
      </c>
      <c r="M5" s="100" t="s">
        <v>137</v>
      </c>
      <c r="N5" s="100" t="s">
        <v>853</v>
      </c>
      <c r="O5" s="102" t="s">
        <v>15</v>
      </c>
      <c r="P5" s="102" t="s">
        <v>15</v>
      </c>
      <c r="Q5" s="102" t="s">
        <v>15</v>
      </c>
      <c r="R5" s="102" t="s">
        <v>15</v>
      </c>
      <c r="S5" s="102" t="s">
        <v>15</v>
      </c>
      <c r="T5" s="102" t="s">
        <v>15</v>
      </c>
      <c r="U5" s="102" t="s">
        <v>15</v>
      </c>
      <c r="V5" s="102" t="s">
        <v>15</v>
      </c>
      <c r="W5" s="103" t="s">
        <v>41</v>
      </c>
      <c r="X5" s="102" t="s">
        <v>15</v>
      </c>
      <c r="Y5" s="102" t="s">
        <v>15</v>
      </c>
      <c r="Z5" s="102" t="s">
        <v>15</v>
      </c>
      <c r="AA5" s="100" t="s">
        <v>134</v>
      </c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</row>
    <row r="6" spans="1:41">
      <c r="A6" s="100">
        <v>5</v>
      </c>
      <c r="B6" s="100" t="s">
        <v>149</v>
      </c>
      <c r="C6" s="101" t="s">
        <v>141</v>
      </c>
      <c r="D6" s="101" t="s">
        <v>141</v>
      </c>
      <c r="E6" s="101" t="s">
        <v>141</v>
      </c>
      <c r="F6" s="100" t="s">
        <v>141</v>
      </c>
      <c r="G6" s="100" t="s">
        <v>141</v>
      </c>
      <c r="H6" s="100" t="s">
        <v>134</v>
      </c>
      <c r="I6" s="100" t="s">
        <v>150</v>
      </c>
      <c r="J6" s="100" t="s">
        <v>855</v>
      </c>
      <c r="K6" s="100" t="s">
        <v>144</v>
      </c>
      <c r="L6" s="100" t="s">
        <v>145</v>
      </c>
      <c r="M6" s="100" t="s">
        <v>137</v>
      </c>
      <c r="N6" s="100" t="s">
        <v>853</v>
      </c>
      <c r="O6" s="102" t="s">
        <v>15</v>
      </c>
      <c r="P6" s="102" t="s">
        <v>15</v>
      </c>
      <c r="Q6" s="102" t="s">
        <v>15</v>
      </c>
      <c r="R6" s="102" t="s">
        <v>15</v>
      </c>
      <c r="S6" s="102" t="s">
        <v>15</v>
      </c>
      <c r="T6" s="102" t="s">
        <v>15</v>
      </c>
      <c r="U6" s="102" t="s">
        <v>15</v>
      </c>
      <c r="V6" s="102" t="s">
        <v>15</v>
      </c>
      <c r="W6" s="103" t="s">
        <v>41</v>
      </c>
      <c r="X6" s="102" t="s">
        <v>15</v>
      </c>
      <c r="Y6" s="102" t="s">
        <v>15</v>
      </c>
      <c r="Z6" s="102" t="s">
        <v>15</v>
      </c>
      <c r="AA6" s="100" t="s">
        <v>134</v>
      </c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</row>
    <row r="7" spans="1:41">
      <c r="A7" s="100">
        <v>6</v>
      </c>
      <c r="B7" s="100" t="s">
        <v>152</v>
      </c>
      <c r="C7" s="101" t="s">
        <v>141</v>
      </c>
      <c r="D7" s="101" t="s">
        <v>141</v>
      </c>
      <c r="E7" s="101" t="s">
        <v>141</v>
      </c>
      <c r="F7" s="100" t="s">
        <v>141</v>
      </c>
      <c r="G7" s="100" t="s">
        <v>141</v>
      </c>
      <c r="H7" s="100" t="s">
        <v>134</v>
      </c>
      <c r="I7" s="100" t="s">
        <v>153</v>
      </c>
      <c r="J7" s="100" t="s">
        <v>856</v>
      </c>
      <c r="K7" s="100" t="s">
        <v>144</v>
      </c>
      <c r="L7" s="100" t="s">
        <v>145</v>
      </c>
      <c r="M7" s="100" t="s">
        <v>137</v>
      </c>
      <c r="N7" s="100" t="s">
        <v>853</v>
      </c>
      <c r="O7" s="102" t="s">
        <v>15</v>
      </c>
      <c r="P7" s="102" t="s">
        <v>15</v>
      </c>
      <c r="Q7" s="102" t="s">
        <v>15</v>
      </c>
      <c r="R7" s="102" t="s">
        <v>15</v>
      </c>
      <c r="S7" s="102" t="s">
        <v>15</v>
      </c>
      <c r="T7" s="102" t="s">
        <v>15</v>
      </c>
      <c r="U7" s="102" t="s">
        <v>15</v>
      </c>
      <c r="V7" s="102" t="s">
        <v>15</v>
      </c>
      <c r="W7" s="103" t="s">
        <v>41</v>
      </c>
      <c r="X7" s="102" t="s">
        <v>15</v>
      </c>
      <c r="Y7" s="102" t="s">
        <v>15</v>
      </c>
      <c r="Z7" s="102" t="s">
        <v>15</v>
      </c>
      <c r="AA7" s="100" t="s">
        <v>134</v>
      </c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</row>
    <row r="8" spans="1:41">
      <c r="A8" s="100">
        <v>7</v>
      </c>
      <c r="B8" s="100" t="s">
        <v>155</v>
      </c>
      <c r="C8" s="101" t="s">
        <v>141</v>
      </c>
      <c r="D8" s="101" t="s">
        <v>141</v>
      </c>
      <c r="E8" s="101" t="s">
        <v>141</v>
      </c>
      <c r="F8" s="100" t="s">
        <v>141</v>
      </c>
      <c r="G8" s="100" t="s">
        <v>141</v>
      </c>
      <c r="H8" s="100" t="s">
        <v>134</v>
      </c>
      <c r="I8" s="100" t="s">
        <v>156</v>
      </c>
      <c r="J8" s="100" t="s">
        <v>855</v>
      </c>
      <c r="K8" s="100" t="s">
        <v>144</v>
      </c>
      <c r="L8" s="100" t="s">
        <v>145</v>
      </c>
      <c r="M8" s="100" t="s">
        <v>137</v>
      </c>
      <c r="N8" s="100" t="s">
        <v>853</v>
      </c>
      <c r="O8" s="102" t="s">
        <v>15</v>
      </c>
      <c r="P8" s="102" t="s">
        <v>15</v>
      </c>
      <c r="Q8" s="102" t="s">
        <v>15</v>
      </c>
      <c r="R8" s="102" t="s">
        <v>15</v>
      </c>
      <c r="S8" s="102" t="s">
        <v>15</v>
      </c>
      <c r="T8" s="102" t="s">
        <v>15</v>
      </c>
      <c r="U8" s="102" t="s">
        <v>15</v>
      </c>
      <c r="V8" s="102" t="s">
        <v>15</v>
      </c>
      <c r="W8" s="103" t="s">
        <v>41</v>
      </c>
      <c r="X8" s="102" t="s">
        <v>15</v>
      </c>
      <c r="Y8" s="102" t="s">
        <v>15</v>
      </c>
      <c r="Z8" s="102" t="s">
        <v>15</v>
      </c>
      <c r="AA8" s="100" t="s">
        <v>134</v>
      </c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</row>
    <row r="9" spans="1:41">
      <c r="A9" s="100">
        <v>8</v>
      </c>
      <c r="B9" s="100" t="s">
        <v>157</v>
      </c>
      <c r="C9" s="101" t="s">
        <v>141</v>
      </c>
      <c r="D9" s="101" t="s">
        <v>141</v>
      </c>
      <c r="E9" s="101" t="s">
        <v>141</v>
      </c>
      <c r="F9" s="100" t="s">
        <v>141</v>
      </c>
      <c r="G9" s="100" t="s">
        <v>141</v>
      </c>
      <c r="H9" s="100" t="s">
        <v>134</v>
      </c>
      <c r="I9" s="100" t="s">
        <v>158</v>
      </c>
      <c r="J9" s="100" t="s">
        <v>857</v>
      </c>
      <c r="K9" s="100" t="s">
        <v>144</v>
      </c>
      <c r="L9" s="100" t="s">
        <v>145</v>
      </c>
      <c r="M9" s="100" t="s">
        <v>137</v>
      </c>
      <c r="N9" s="100" t="s">
        <v>853</v>
      </c>
      <c r="O9" s="102" t="s">
        <v>15</v>
      </c>
      <c r="P9" s="102" t="s">
        <v>15</v>
      </c>
      <c r="Q9" s="102" t="s">
        <v>15</v>
      </c>
      <c r="R9" s="102" t="s">
        <v>15</v>
      </c>
      <c r="S9" s="102" t="s">
        <v>15</v>
      </c>
      <c r="T9" s="102" t="s">
        <v>15</v>
      </c>
      <c r="U9" s="102" t="s">
        <v>15</v>
      </c>
      <c r="V9" s="102" t="s">
        <v>15</v>
      </c>
      <c r="W9" s="103" t="s">
        <v>41</v>
      </c>
      <c r="X9" s="102" t="s">
        <v>15</v>
      </c>
      <c r="Y9" s="102" t="s">
        <v>15</v>
      </c>
      <c r="Z9" s="102" t="s">
        <v>15</v>
      </c>
      <c r="AA9" s="100" t="s">
        <v>134</v>
      </c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</row>
    <row r="10" spans="1:41">
      <c r="A10" s="100">
        <v>9</v>
      </c>
      <c r="B10" s="100" t="s">
        <v>159</v>
      </c>
      <c r="C10" s="101" t="s">
        <v>141</v>
      </c>
      <c r="D10" s="101" t="s">
        <v>141</v>
      </c>
      <c r="E10" s="101" t="s">
        <v>141</v>
      </c>
      <c r="F10" s="100" t="s">
        <v>141</v>
      </c>
      <c r="G10" s="100" t="s">
        <v>141</v>
      </c>
      <c r="H10" s="100" t="s">
        <v>134</v>
      </c>
      <c r="I10" s="100" t="s">
        <v>160</v>
      </c>
      <c r="J10" s="100" t="s">
        <v>858</v>
      </c>
      <c r="K10" s="100" t="s">
        <v>40</v>
      </c>
      <c r="L10" s="100"/>
      <c r="M10" s="100" t="s">
        <v>137</v>
      </c>
      <c r="N10" s="100"/>
      <c r="O10" s="102" t="s">
        <v>15</v>
      </c>
      <c r="P10" s="102" t="s">
        <v>15</v>
      </c>
      <c r="Q10" s="102" t="s">
        <v>15</v>
      </c>
      <c r="R10" s="102" t="s">
        <v>15</v>
      </c>
      <c r="S10" s="102" t="s">
        <v>15</v>
      </c>
      <c r="T10" s="102" t="s">
        <v>15</v>
      </c>
      <c r="U10" s="102" t="s">
        <v>15</v>
      </c>
      <c r="V10" s="102" t="s">
        <v>15</v>
      </c>
      <c r="W10" s="103" t="s">
        <v>41</v>
      </c>
      <c r="X10" s="102" t="s">
        <v>15</v>
      </c>
      <c r="Y10" s="102" t="s">
        <v>15</v>
      </c>
      <c r="Z10" s="102" t="s">
        <v>15</v>
      </c>
      <c r="AA10" s="100" t="s">
        <v>134</v>
      </c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</row>
    <row r="11" spans="1:41">
      <c r="A11" s="100">
        <v>10</v>
      </c>
      <c r="B11" s="100" t="s">
        <v>161</v>
      </c>
      <c r="C11" s="101" t="s">
        <v>141</v>
      </c>
      <c r="D11" s="101" t="s">
        <v>141</v>
      </c>
      <c r="E11" s="101" t="s">
        <v>141</v>
      </c>
      <c r="F11" s="100" t="s">
        <v>134</v>
      </c>
      <c r="G11" s="100" t="s">
        <v>141</v>
      </c>
      <c r="H11" s="100" t="s">
        <v>141</v>
      </c>
      <c r="I11" s="100" t="s">
        <v>162</v>
      </c>
      <c r="J11" s="100" t="s">
        <v>859</v>
      </c>
      <c r="K11" s="100" t="s">
        <v>144</v>
      </c>
      <c r="L11" s="100" t="s">
        <v>145</v>
      </c>
      <c r="M11" s="100" t="s">
        <v>137</v>
      </c>
      <c r="N11" s="100" t="s">
        <v>853</v>
      </c>
      <c r="O11" s="102" t="s">
        <v>15</v>
      </c>
      <c r="P11" s="102" t="s">
        <v>15</v>
      </c>
      <c r="Q11" s="102" t="s">
        <v>15</v>
      </c>
      <c r="R11" s="102" t="s">
        <v>15</v>
      </c>
      <c r="S11" s="102" t="s">
        <v>15</v>
      </c>
      <c r="T11" s="102" t="s">
        <v>15</v>
      </c>
      <c r="U11" s="103" t="s">
        <v>41</v>
      </c>
      <c r="V11" s="102" t="s">
        <v>15</v>
      </c>
      <c r="W11" s="102" t="s">
        <v>15</v>
      </c>
      <c r="X11" s="102" t="s">
        <v>15</v>
      </c>
      <c r="Y11" s="102" t="s">
        <v>15</v>
      </c>
      <c r="Z11" s="102" t="s">
        <v>15</v>
      </c>
      <c r="AA11" s="100" t="s">
        <v>134</v>
      </c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</row>
    <row r="12" spans="1:41">
      <c r="A12" s="100">
        <v>11</v>
      </c>
      <c r="B12" s="100" t="s">
        <v>163</v>
      </c>
      <c r="C12" s="101" t="s">
        <v>141</v>
      </c>
      <c r="D12" s="101" t="s">
        <v>141</v>
      </c>
      <c r="E12" s="101" t="s">
        <v>141</v>
      </c>
      <c r="F12" s="100" t="s">
        <v>134</v>
      </c>
      <c r="G12" s="100" t="s">
        <v>141</v>
      </c>
      <c r="H12" s="100" t="s">
        <v>141</v>
      </c>
      <c r="I12" s="100" t="s">
        <v>164</v>
      </c>
      <c r="J12" s="100" t="s">
        <v>860</v>
      </c>
      <c r="K12" s="100" t="s">
        <v>144</v>
      </c>
      <c r="L12" s="100" t="s">
        <v>145</v>
      </c>
      <c r="M12" s="100" t="s">
        <v>137</v>
      </c>
      <c r="N12" s="100" t="s">
        <v>853</v>
      </c>
      <c r="O12" s="102" t="s">
        <v>15</v>
      </c>
      <c r="P12" s="102" t="s">
        <v>15</v>
      </c>
      <c r="Q12" s="102" t="s">
        <v>15</v>
      </c>
      <c r="R12" s="102" t="s">
        <v>15</v>
      </c>
      <c r="S12" s="102" t="s">
        <v>15</v>
      </c>
      <c r="T12" s="102" t="s">
        <v>15</v>
      </c>
      <c r="U12" s="103" t="s">
        <v>41</v>
      </c>
      <c r="V12" s="102" t="s">
        <v>15</v>
      </c>
      <c r="W12" s="102" t="s">
        <v>15</v>
      </c>
      <c r="X12" s="102" t="s">
        <v>15</v>
      </c>
      <c r="Y12" s="102" t="s">
        <v>15</v>
      </c>
      <c r="Z12" s="102" t="s">
        <v>15</v>
      </c>
      <c r="AA12" s="100" t="s">
        <v>134</v>
      </c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</row>
    <row r="13" spans="1:41">
      <c r="A13" s="100">
        <v>12</v>
      </c>
      <c r="B13" s="100" t="s">
        <v>165</v>
      </c>
      <c r="C13" s="101" t="s">
        <v>141</v>
      </c>
      <c r="D13" s="101" t="s">
        <v>141</v>
      </c>
      <c r="E13" s="101" t="s">
        <v>141</v>
      </c>
      <c r="F13" s="100" t="s">
        <v>134</v>
      </c>
      <c r="G13" s="100" t="s">
        <v>141</v>
      </c>
      <c r="H13" s="100" t="s">
        <v>141</v>
      </c>
      <c r="I13" s="100" t="s">
        <v>166</v>
      </c>
      <c r="J13" s="100" t="s">
        <v>861</v>
      </c>
      <c r="K13" s="100" t="s">
        <v>40</v>
      </c>
      <c r="L13" s="100"/>
      <c r="M13" s="100" t="s">
        <v>137</v>
      </c>
      <c r="N13" s="100"/>
      <c r="O13" s="102" t="s">
        <v>15</v>
      </c>
      <c r="P13" s="102" t="s">
        <v>15</v>
      </c>
      <c r="Q13" s="102" t="s">
        <v>15</v>
      </c>
      <c r="R13" s="102" t="s">
        <v>15</v>
      </c>
      <c r="S13" s="102" t="s">
        <v>15</v>
      </c>
      <c r="T13" s="102" t="s">
        <v>15</v>
      </c>
      <c r="U13" s="103" t="s">
        <v>41</v>
      </c>
      <c r="V13" s="102" t="s">
        <v>15</v>
      </c>
      <c r="W13" s="102" t="s">
        <v>15</v>
      </c>
      <c r="X13" s="102" t="s">
        <v>15</v>
      </c>
      <c r="Y13" s="102" t="s">
        <v>15</v>
      </c>
      <c r="Z13" s="102" t="s">
        <v>15</v>
      </c>
      <c r="AA13" s="100" t="s">
        <v>134</v>
      </c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</row>
    <row r="14" spans="1:41">
      <c r="A14" s="100">
        <v>13</v>
      </c>
      <c r="B14" s="100" t="s">
        <v>167</v>
      </c>
      <c r="C14" s="101" t="s">
        <v>141</v>
      </c>
      <c r="D14" s="101" t="s">
        <v>141</v>
      </c>
      <c r="E14" s="101" t="s">
        <v>141</v>
      </c>
      <c r="F14" s="100" t="s">
        <v>141</v>
      </c>
      <c r="G14" s="100" t="s">
        <v>134</v>
      </c>
      <c r="H14" s="100" t="s">
        <v>141</v>
      </c>
      <c r="I14" s="100" t="s">
        <v>168</v>
      </c>
      <c r="J14" s="100" t="s">
        <v>862</v>
      </c>
      <c r="K14" s="100" t="s">
        <v>169</v>
      </c>
      <c r="L14" s="100" t="s">
        <v>145</v>
      </c>
      <c r="M14" s="100" t="s">
        <v>137</v>
      </c>
      <c r="N14" s="100" t="s">
        <v>853</v>
      </c>
      <c r="O14" s="102" t="s">
        <v>15</v>
      </c>
      <c r="P14" s="102" t="s">
        <v>15</v>
      </c>
      <c r="Q14" s="102" t="s">
        <v>15</v>
      </c>
      <c r="R14" s="102" t="s">
        <v>15</v>
      </c>
      <c r="S14" s="102" t="s">
        <v>15</v>
      </c>
      <c r="T14" s="102" t="s">
        <v>15</v>
      </c>
      <c r="U14" s="102" t="s">
        <v>15</v>
      </c>
      <c r="V14" s="103" t="s">
        <v>41</v>
      </c>
      <c r="W14" s="102" t="s">
        <v>15</v>
      </c>
      <c r="X14" s="102" t="s">
        <v>15</v>
      </c>
      <c r="Y14" s="102" t="s">
        <v>15</v>
      </c>
      <c r="Z14" s="102" t="s">
        <v>15</v>
      </c>
      <c r="AA14" s="100" t="s">
        <v>134</v>
      </c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</row>
    <row r="15" spans="1:41">
      <c r="A15" s="100">
        <v>14</v>
      </c>
      <c r="B15" s="100" t="s">
        <v>170</v>
      </c>
      <c r="C15" s="101" t="s">
        <v>141</v>
      </c>
      <c r="D15" s="101" t="s">
        <v>141</v>
      </c>
      <c r="E15" s="101" t="s">
        <v>141</v>
      </c>
      <c r="F15" s="100" t="s">
        <v>141</v>
      </c>
      <c r="G15" s="100" t="s">
        <v>134</v>
      </c>
      <c r="H15" s="100" t="s">
        <v>141</v>
      </c>
      <c r="I15" s="100" t="s">
        <v>171</v>
      </c>
      <c r="J15" s="100" t="s">
        <v>863</v>
      </c>
      <c r="K15" s="100" t="s">
        <v>136</v>
      </c>
      <c r="L15" s="100" t="s">
        <v>145</v>
      </c>
      <c r="M15" s="100" t="s">
        <v>137</v>
      </c>
      <c r="N15" s="100" t="s">
        <v>853</v>
      </c>
      <c r="O15" s="102" t="s">
        <v>15</v>
      </c>
      <c r="P15" s="102" t="s">
        <v>15</v>
      </c>
      <c r="Q15" s="102" t="s">
        <v>15</v>
      </c>
      <c r="R15" s="102" t="s">
        <v>15</v>
      </c>
      <c r="S15" s="102" t="s">
        <v>15</v>
      </c>
      <c r="T15" s="102" t="s">
        <v>15</v>
      </c>
      <c r="U15" s="102" t="s">
        <v>15</v>
      </c>
      <c r="V15" s="103" t="s">
        <v>41</v>
      </c>
      <c r="W15" s="102" t="s">
        <v>15</v>
      </c>
      <c r="X15" s="102" t="s">
        <v>15</v>
      </c>
      <c r="Y15" s="102" t="s">
        <v>15</v>
      </c>
      <c r="Z15" s="102" t="s">
        <v>15</v>
      </c>
      <c r="AA15" s="100" t="s">
        <v>134</v>
      </c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</row>
    <row r="16" spans="1:41">
      <c r="A16" s="100">
        <v>15</v>
      </c>
      <c r="B16" s="100" t="s">
        <v>172</v>
      </c>
      <c r="C16" s="101" t="s">
        <v>141</v>
      </c>
      <c r="D16" s="101" t="s">
        <v>134</v>
      </c>
      <c r="E16" s="101" t="s">
        <v>141</v>
      </c>
      <c r="F16" s="100" t="s">
        <v>141</v>
      </c>
      <c r="G16" s="100" t="s">
        <v>141</v>
      </c>
      <c r="H16" s="100" t="s">
        <v>141</v>
      </c>
      <c r="I16" s="100" t="s">
        <v>173</v>
      </c>
      <c r="J16" s="100" t="s">
        <v>864</v>
      </c>
      <c r="K16" s="100" t="s">
        <v>144</v>
      </c>
      <c r="L16" s="100" t="s">
        <v>145</v>
      </c>
      <c r="M16" s="100" t="s">
        <v>137</v>
      </c>
      <c r="N16" s="100" t="s">
        <v>853</v>
      </c>
      <c r="O16" s="102" t="s">
        <v>15</v>
      </c>
      <c r="P16" s="102" t="s">
        <v>15</v>
      </c>
      <c r="Q16" s="102" t="s">
        <v>15</v>
      </c>
      <c r="R16" s="102" t="s">
        <v>15</v>
      </c>
      <c r="S16" s="102" t="s">
        <v>15</v>
      </c>
      <c r="T16" s="102" t="s">
        <v>15</v>
      </c>
      <c r="U16" s="102" t="s">
        <v>15</v>
      </c>
      <c r="V16" s="102" t="s">
        <v>15</v>
      </c>
      <c r="W16" s="102" t="s">
        <v>15</v>
      </c>
      <c r="X16" s="102" t="s">
        <v>15</v>
      </c>
      <c r="Y16" s="103" t="s">
        <v>41</v>
      </c>
      <c r="Z16" s="102" t="s">
        <v>15</v>
      </c>
      <c r="AA16" s="100" t="s">
        <v>134</v>
      </c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</row>
    <row r="17" spans="1:41">
      <c r="A17" s="100">
        <v>16</v>
      </c>
      <c r="B17" s="100" t="s">
        <v>174</v>
      </c>
      <c r="C17" s="101" t="s">
        <v>134</v>
      </c>
      <c r="D17" s="101" t="s">
        <v>141</v>
      </c>
      <c r="E17" s="101" t="s">
        <v>141</v>
      </c>
      <c r="F17" s="100" t="s">
        <v>141</v>
      </c>
      <c r="G17" s="100" t="s">
        <v>141</v>
      </c>
      <c r="H17" s="100" t="s">
        <v>141</v>
      </c>
      <c r="I17" s="100" t="s">
        <v>175</v>
      </c>
      <c r="J17" s="100" t="s">
        <v>865</v>
      </c>
      <c r="K17" s="100" t="s">
        <v>144</v>
      </c>
      <c r="L17" s="100" t="s">
        <v>145</v>
      </c>
      <c r="M17" s="100" t="s">
        <v>137</v>
      </c>
      <c r="N17" s="100" t="s">
        <v>853</v>
      </c>
      <c r="O17" s="102" t="s">
        <v>15</v>
      </c>
      <c r="P17" s="102" t="s">
        <v>15</v>
      </c>
      <c r="Q17" s="102" t="s">
        <v>15</v>
      </c>
      <c r="R17" s="102" t="s">
        <v>15</v>
      </c>
      <c r="S17" s="102" t="s">
        <v>15</v>
      </c>
      <c r="T17" s="102" t="s">
        <v>15</v>
      </c>
      <c r="U17" s="102" t="s">
        <v>15</v>
      </c>
      <c r="V17" s="102" t="s">
        <v>15</v>
      </c>
      <c r="W17" s="102" t="s">
        <v>15</v>
      </c>
      <c r="X17" s="102" t="s">
        <v>15</v>
      </c>
      <c r="Y17" s="102" t="s">
        <v>15</v>
      </c>
      <c r="Z17" s="103" t="s">
        <v>41</v>
      </c>
      <c r="AA17" s="100" t="s">
        <v>134</v>
      </c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</row>
    <row r="18" spans="1:41">
      <c r="A18" s="100">
        <v>17</v>
      </c>
      <c r="B18" s="100" t="s">
        <v>176</v>
      </c>
      <c r="C18" s="101" t="s">
        <v>134</v>
      </c>
      <c r="D18" s="101" t="s">
        <v>141</v>
      </c>
      <c r="E18" s="101" t="s">
        <v>141</v>
      </c>
      <c r="F18" s="100" t="s">
        <v>141</v>
      </c>
      <c r="G18" s="100" t="s">
        <v>141</v>
      </c>
      <c r="H18" s="100" t="s">
        <v>141</v>
      </c>
      <c r="I18" s="100" t="s">
        <v>177</v>
      </c>
      <c r="J18" s="100" t="s">
        <v>866</v>
      </c>
      <c r="K18" s="100" t="s">
        <v>144</v>
      </c>
      <c r="L18" s="100" t="s">
        <v>145</v>
      </c>
      <c r="M18" s="100" t="s">
        <v>137</v>
      </c>
      <c r="N18" s="100" t="s">
        <v>853</v>
      </c>
      <c r="O18" s="102" t="s">
        <v>15</v>
      </c>
      <c r="P18" s="102" t="s">
        <v>15</v>
      </c>
      <c r="Q18" s="102" t="s">
        <v>15</v>
      </c>
      <c r="R18" s="102" t="s">
        <v>15</v>
      </c>
      <c r="S18" s="102" t="s">
        <v>15</v>
      </c>
      <c r="T18" s="102" t="s">
        <v>15</v>
      </c>
      <c r="U18" s="102" t="s">
        <v>15</v>
      </c>
      <c r="V18" s="102" t="s">
        <v>15</v>
      </c>
      <c r="W18" s="102" t="s">
        <v>15</v>
      </c>
      <c r="X18" s="102" t="s">
        <v>15</v>
      </c>
      <c r="Y18" s="102" t="s">
        <v>15</v>
      </c>
      <c r="Z18" s="103" t="s">
        <v>41</v>
      </c>
      <c r="AA18" s="100" t="s">
        <v>134</v>
      </c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</row>
    <row r="19" spans="1:41">
      <c r="A19" s="100">
        <v>18</v>
      </c>
      <c r="B19" s="100" t="s">
        <v>178</v>
      </c>
      <c r="C19" s="101" t="s">
        <v>134</v>
      </c>
      <c r="D19" s="101" t="s">
        <v>141</v>
      </c>
      <c r="E19" s="101" t="s">
        <v>141</v>
      </c>
      <c r="F19" s="100" t="s">
        <v>141</v>
      </c>
      <c r="G19" s="100" t="s">
        <v>141</v>
      </c>
      <c r="H19" s="100" t="s">
        <v>141</v>
      </c>
      <c r="I19" s="100" t="s">
        <v>179</v>
      </c>
      <c r="J19" s="100" t="s">
        <v>867</v>
      </c>
      <c r="K19" s="100" t="s">
        <v>144</v>
      </c>
      <c r="L19" s="100" t="s">
        <v>145</v>
      </c>
      <c r="M19" s="100" t="s">
        <v>137</v>
      </c>
      <c r="N19" s="100" t="s">
        <v>853</v>
      </c>
      <c r="O19" s="102" t="s">
        <v>15</v>
      </c>
      <c r="P19" s="102" t="s">
        <v>15</v>
      </c>
      <c r="Q19" s="102" t="s">
        <v>15</v>
      </c>
      <c r="R19" s="102" t="s">
        <v>15</v>
      </c>
      <c r="S19" s="102" t="s">
        <v>15</v>
      </c>
      <c r="T19" s="102" t="s">
        <v>15</v>
      </c>
      <c r="U19" s="102" t="s">
        <v>15</v>
      </c>
      <c r="V19" s="102" t="s">
        <v>15</v>
      </c>
      <c r="W19" s="102" t="s">
        <v>15</v>
      </c>
      <c r="X19" s="102" t="s">
        <v>15</v>
      </c>
      <c r="Y19" s="102" t="s">
        <v>15</v>
      </c>
      <c r="Z19" s="103" t="s">
        <v>41</v>
      </c>
      <c r="AA19" s="100" t="s">
        <v>134</v>
      </c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</row>
    <row r="20" spans="1:41">
      <c r="A20" s="100">
        <v>19</v>
      </c>
      <c r="B20" s="100" t="s">
        <v>180</v>
      </c>
      <c r="C20" s="101" t="s">
        <v>141</v>
      </c>
      <c r="D20" s="101" t="s">
        <v>141</v>
      </c>
      <c r="E20" s="101" t="s">
        <v>134</v>
      </c>
      <c r="F20" s="100" t="s">
        <v>141</v>
      </c>
      <c r="G20" s="100" t="s">
        <v>141</v>
      </c>
      <c r="H20" s="100" t="s">
        <v>141</v>
      </c>
      <c r="I20" s="100" t="s">
        <v>181</v>
      </c>
      <c r="J20" s="100" t="s">
        <v>868</v>
      </c>
      <c r="K20" s="100" t="s">
        <v>144</v>
      </c>
      <c r="L20" s="100" t="s">
        <v>145</v>
      </c>
      <c r="M20" s="100" t="s">
        <v>137</v>
      </c>
      <c r="N20" s="100" t="s">
        <v>853</v>
      </c>
      <c r="O20" s="102" t="s">
        <v>15</v>
      </c>
      <c r="P20" s="102" t="s">
        <v>15</v>
      </c>
      <c r="Q20" s="102" t="s">
        <v>15</v>
      </c>
      <c r="R20" s="102" t="s">
        <v>15</v>
      </c>
      <c r="S20" s="102" t="s">
        <v>15</v>
      </c>
      <c r="T20" s="102" t="s">
        <v>15</v>
      </c>
      <c r="U20" s="102" t="s">
        <v>15</v>
      </c>
      <c r="V20" s="102" t="s">
        <v>15</v>
      </c>
      <c r="W20" s="102" t="s">
        <v>15</v>
      </c>
      <c r="X20" s="103" t="s">
        <v>41</v>
      </c>
      <c r="Y20" s="102" t="s">
        <v>15</v>
      </c>
      <c r="Z20" s="102" t="s">
        <v>15</v>
      </c>
      <c r="AA20" s="100" t="s">
        <v>134</v>
      </c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</row>
    <row r="21" spans="1:41" ht="15.75" customHeight="1">
      <c r="A21" s="100">
        <v>20</v>
      </c>
      <c r="B21" s="100" t="s">
        <v>182</v>
      </c>
      <c r="C21" s="101" t="s">
        <v>141</v>
      </c>
      <c r="D21" s="101" t="s">
        <v>141</v>
      </c>
      <c r="E21" s="101" t="s">
        <v>134</v>
      </c>
      <c r="F21" s="100" t="s">
        <v>141</v>
      </c>
      <c r="G21" s="100" t="s">
        <v>141</v>
      </c>
      <c r="H21" s="100" t="s">
        <v>141</v>
      </c>
      <c r="I21" s="100" t="s">
        <v>183</v>
      </c>
      <c r="J21" s="100" t="s">
        <v>869</v>
      </c>
      <c r="K21" s="100" t="s">
        <v>144</v>
      </c>
      <c r="L21" s="100" t="s">
        <v>145</v>
      </c>
      <c r="M21" s="100" t="s">
        <v>137</v>
      </c>
      <c r="N21" s="100" t="s">
        <v>853</v>
      </c>
      <c r="O21" s="102" t="s">
        <v>15</v>
      </c>
      <c r="P21" s="102" t="s">
        <v>15</v>
      </c>
      <c r="Q21" s="102" t="s">
        <v>15</v>
      </c>
      <c r="R21" s="102" t="s">
        <v>15</v>
      </c>
      <c r="S21" s="102" t="s">
        <v>15</v>
      </c>
      <c r="T21" s="102" t="s">
        <v>15</v>
      </c>
      <c r="U21" s="102" t="s">
        <v>15</v>
      </c>
      <c r="V21" s="102" t="s">
        <v>15</v>
      </c>
      <c r="W21" s="102" t="s">
        <v>15</v>
      </c>
      <c r="X21" s="103" t="s">
        <v>41</v>
      </c>
      <c r="Y21" s="102" t="s">
        <v>15</v>
      </c>
      <c r="Z21" s="102" t="s">
        <v>15</v>
      </c>
      <c r="AA21" s="100" t="s">
        <v>134</v>
      </c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</row>
    <row r="22" spans="1:41" ht="15.75" customHeight="1">
      <c r="A22" s="100">
        <v>21</v>
      </c>
      <c r="B22" s="100" t="s">
        <v>185</v>
      </c>
      <c r="C22" s="101" t="s">
        <v>141</v>
      </c>
      <c r="D22" s="101" t="s">
        <v>141</v>
      </c>
      <c r="E22" s="101" t="s">
        <v>134</v>
      </c>
      <c r="F22" s="100" t="s">
        <v>141</v>
      </c>
      <c r="G22" s="100" t="s">
        <v>141</v>
      </c>
      <c r="H22" s="100" t="s">
        <v>141</v>
      </c>
      <c r="I22" s="100" t="s">
        <v>186</v>
      </c>
      <c r="J22" s="100" t="s">
        <v>870</v>
      </c>
      <c r="K22" s="100" t="s">
        <v>144</v>
      </c>
      <c r="L22" s="100" t="s">
        <v>145</v>
      </c>
      <c r="M22" s="100" t="s">
        <v>137</v>
      </c>
      <c r="N22" s="100" t="s">
        <v>853</v>
      </c>
      <c r="O22" s="102" t="s">
        <v>15</v>
      </c>
      <c r="P22" s="102" t="s">
        <v>15</v>
      </c>
      <c r="Q22" s="102" t="s">
        <v>15</v>
      </c>
      <c r="R22" s="102" t="s">
        <v>15</v>
      </c>
      <c r="S22" s="102" t="s">
        <v>15</v>
      </c>
      <c r="T22" s="102" t="s">
        <v>15</v>
      </c>
      <c r="U22" s="102" t="s">
        <v>15</v>
      </c>
      <c r="V22" s="102" t="s">
        <v>15</v>
      </c>
      <c r="W22" s="102" t="s">
        <v>15</v>
      </c>
      <c r="X22" s="103" t="s">
        <v>41</v>
      </c>
      <c r="Y22" s="102" t="s">
        <v>15</v>
      </c>
      <c r="Z22" s="102" t="s">
        <v>15</v>
      </c>
      <c r="AA22" s="100" t="s">
        <v>134</v>
      </c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</row>
    <row r="23" spans="1:41" ht="15.75" customHeight="1">
      <c r="A23" s="100">
        <v>22</v>
      </c>
      <c r="B23" s="100" t="s">
        <v>187</v>
      </c>
      <c r="C23" s="101" t="s">
        <v>141</v>
      </c>
      <c r="D23" s="101" t="s">
        <v>141</v>
      </c>
      <c r="E23" s="101" t="s">
        <v>134</v>
      </c>
      <c r="F23" s="100" t="s">
        <v>141</v>
      </c>
      <c r="G23" s="100" t="s">
        <v>141</v>
      </c>
      <c r="H23" s="100" t="s">
        <v>141</v>
      </c>
      <c r="I23" s="100" t="s">
        <v>188</v>
      </c>
      <c r="J23" s="100" t="s">
        <v>871</v>
      </c>
      <c r="K23" s="100" t="s">
        <v>144</v>
      </c>
      <c r="L23" s="100" t="s">
        <v>145</v>
      </c>
      <c r="M23" s="100" t="s">
        <v>137</v>
      </c>
      <c r="N23" s="100" t="s">
        <v>853</v>
      </c>
      <c r="O23" s="102" t="s">
        <v>15</v>
      </c>
      <c r="P23" s="102" t="s">
        <v>15</v>
      </c>
      <c r="Q23" s="102" t="s">
        <v>15</v>
      </c>
      <c r="R23" s="102" t="s">
        <v>15</v>
      </c>
      <c r="S23" s="102" t="s">
        <v>15</v>
      </c>
      <c r="T23" s="102" t="s">
        <v>15</v>
      </c>
      <c r="U23" s="102" t="s">
        <v>15</v>
      </c>
      <c r="V23" s="102" t="s">
        <v>15</v>
      </c>
      <c r="W23" s="102" t="s">
        <v>15</v>
      </c>
      <c r="X23" s="103" t="s">
        <v>41</v>
      </c>
      <c r="Y23" s="102" t="s">
        <v>15</v>
      </c>
      <c r="Z23" s="102" t="s">
        <v>15</v>
      </c>
      <c r="AA23" s="100" t="s">
        <v>134</v>
      </c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</row>
    <row r="24" spans="1:41" ht="15.75" customHeight="1">
      <c r="A24" s="100">
        <v>23</v>
      </c>
      <c r="B24" s="100" t="s">
        <v>189</v>
      </c>
      <c r="C24" s="101" t="s">
        <v>141</v>
      </c>
      <c r="D24" s="101" t="s">
        <v>141</v>
      </c>
      <c r="E24" s="101" t="s">
        <v>141</v>
      </c>
      <c r="F24" s="100" t="s">
        <v>141</v>
      </c>
      <c r="G24" s="100" t="s">
        <v>141</v>
      </c>
      <c r="H24" s="100" t="s">
        <v>134</v>
      </c>
      <c r="I24" s="100" t="s">
        <v>190</v>
      </c>
      <c r="J24" s="100" t="s">
        <v>872</v>
      </c>
      <c r="K24" s="100" t="s">
        <v>191</v>
      </c>
      <c r="L24" s="100" t="s">
        <v>192</v>
      </c>
      <c r="M24" s="100" t="s">
        <v>137</v>
      </c>
      <c r="N24" s="100"/>
      <c r="O24" s="102" t="s">
        <v>15</v>
      </c>
      <c r="P24" s="102" t="s">
        <v>15</v>
      </c>
      <c r="Q24" s="102" t="s">
        <v>15</v>
      </c>
      <c r="R24" s="102" t="s">
        <v>15</v>
      </c>
      <c r="S24" s="102" t="s">
        <v>15</v>
      </c>
      <c r="T24" s="102" t="s">
        <v>15</v>
      </c>
      <c r="U24" s="102" t="s">
        <v>15</v>
      </c>
      <c r="V24" s="102" t="s">
        <v>15</v>
      </c>
      <c r="W24" s="103" t="s">
        <v>41</v>
      </c>
      <c r="X24" s="102" t="s">
        <v>15</v>
      </c>
      <c r="Y24" s="102" t="s">
        <v>15</v>
      </c>
      <c r="Z24" s="102" t="s">
        <v>15</v>
      </c>
      <c r="AA24" s="100" t="s">
        <v>134</v>
      </c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</row>
    <row r="25" spans="1:41" ht="15.75" customHeight="1">
      <c r="A25" s="100">
        <v>24</v>
      </c>
      <c r="B25" s="100" t="s">
        <v>193</v>
      </c>
      <c r="C25" s="101" t="s">
        <v>134</v>
      </c>
      <c r="D25" s="101" t="s">
        <v>141</v>
      </c>
      <c r="E25" s="101" t="s">
        <v>141</v>
      </c>
      <c r="F25" s="100" t="s">
        <v>141</v>
      </c>
      <c r="G25" s="100" t="s">
        <v>141</v>
      </c>
      <c r="H25" s="100" t="s">
        <v>141</v>
      </c>
      <c r="I25" s="100" t="s">
        <v>194</v>
      </c>
      <c r="J25" s="100" t="s">
        <v>872</v>
      </c>
      <c r="K25" s="100" t="s">
        <v>191</v>
      </c>
      <c r="L25" s="100" t="s">
        <v>192</v>
      </c>
      <c r="M25" s="100" t="s">
        <v>137</v>
      </c>
      <c r="N25" s="100"/>
      <c r="O25" s="102" t="s">
        <v>15</v>
      </c>
      <c r="P25" s="102" t="s">
        <v>15</v>
      </c>
      <c r="Q25" s="102" t="s">
        <v>15</v>
      </c>
      <c r="R25" s="102" t="s">
        <v>15</v>
      </c>
      <c r="S25" s="102" t="s">
        <v>15</v>
      </c>
      <c r="T25" s="102" t="s">
        <v>15</v>
      </c>
      <c r="U25" s="102" t="s">
        <v>15</v>
      </c>
      <c r="V25" s="102" t="s">
        <v>15</v>
      </c>
      <c r="W25" s="102" t="s">
        <v>15</v>
      </c>
      <c r="X25" s="102" t="s">
        <v>15</v>
      </c>
      <c r="Y25" s="102" t="s">
        <v>15</v>
      </c>
      <c r="Z25" s="103" t="s">
        <v>41</v>
      </c>
      <c r="AA25" s="100" t="s">
        <v>134</v>
      </c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</row>
    <row r="26" spans="1:41" ht="15.75" customHeight="1">
      <c r="A26" s="100">
        <v>25</v>
      </c>
      <c r="B26" s="100" t="s">
        <v>196</v>
      </c>
      <c r="C26" s="101" t="s">
        <v>141</v>
      </c>
      <c r="D26" s="101" t="s">
        <v>141</v>
      </c>
      <c r="E26" s="101" t="s">
        <v>134</v>
      </c>
      <c r="F26" s="100" t="s">
        <v>141</v>
      </c>
      <c r="G26" s="100" t="s">
        <v>141</v>
      </c>
      <c r="H26" s="100" t="s">
        <v>141</v>
      </c>
      <c r="I26" s="100" t="s">
        <v>197</v>
      </c>
      <c r="J26" s="100" t="s">
        <v>872</v>
      </c>
      <c r="K26" s="100" t="s">
        <v>191</v>
      </c>
      <c r="L26" s="100" t="s">
        <v>192</v>
      </c>
      <c r="M26" s="100" t="s">
        <v>137</v>
      </c>
      <c r="N26" s="100"/>
      <c r="O26" s="102" t="s">
        <v>15</v>
      </c>
      <c r="P26" s="102" t="s">
        <v>15</v>
      </c>
      <c r="Q26" s="102" t="s">
        <v>15</v>
      </c>
      <c r="R26" s="102" t="s">
        <v>15</v>
      </c>
      <c r="S26" s="102" t="s">
        <v>15</v>
      </c>
      <c r="T26" s="102" t="s">
        <v>15</v>
      </c>
      <c r="U26" s="102" t="s">
        <v>15</v>
      </c>
      <c r="V26" s="102" t="s">
        <v>15</v>
      </c>
      <c r="W26" s="102" t="s">
        <v>15</v>
      </c>
      <c r="X26" s="103" t="s">
        <v>41</v>
      </c>
      <c r="Y26" s="102" t="s">
        <v>15</v>
      </c>
      <c r="Z26" s="102" t="s">
        <v>15</v>
      </c>
      <c r="AA26" s="100" t="s">
        <v>134</v>
      </c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</row>
    <row r="27" spans="1:41" ht="15.75" customHeight="1">
      <c r="A27" s="100">
        <v>26</v>
      </c>
      <c r="B27" s="100" t="s">
        <v>198</v>
      </c>
      <c r="C27" s="101" t="s">
        <v>141</v>
      </c>
      <c r="D27" s="101" t="s">
        <v>134</v>
      </c>
      <c r="E27" s="101" t="s">
        <v>141</v>
      </c>
      <c r="F27" s="100" t="s">
        <v>141</v>
      </c>
      <c r="G27" s="100" t="s">
        <v>141</v>
      </c>
      <c r="H27" s="100" t="s">
        <v>141</v>
      </c>
      <c r="I27" s="100" t="s">
        <v>199</v>
      </c>
      <c r="J27" s="100" t="s">
        <v>872</v>
      </c>
      <c r="K27" s="100" t="s">
        <v>191</v>
      </c>
      <c r="L27" s="100" t="s">
        <v>192</v>
      </c>
      <c r="M27" s="100" t="s">
        <v>137</v>
      </c>
      <c r="N27" s="100"/>
      <c r="O27" s="102" t="s">
        <v>15</v>
      </c>
      <c r="P27" s="102" t="s">
        <v>15</v>
      </c>
      <c r="Q27" s="102" t="s">
        <v>15</v>
      </c>
      <c r="R27" s="102" t="s">
        <v>15</v>
      </c>
      <c r="S27" s="102" t="s">
        <v>15</v>
      </c>
      <c r="T27" s="102" t="s">
        <v>15</v>
      </c>
      <c r="U27" s="102" t="s">
        <v>15</v>
      </c>
      <c r="V27" s="102" t="s">
        <v>15</v>
      </c>
      <c r="W27" s="102" t="s">
        <v>15</v>
      </c>
      <c r="X27" s="102" t="s">
        <v>15</v>
      </c>
      <c r="Y27" s="103" t="s">
        <v>41</v>
      </c>
      <c r="Z27" s="102" t="s">
        <v>15</v>
      </c>
      <c r="AA27" s="100" t="s">
        <v>134</v>
      </c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</row>
    <row r="28" spans="1:41" ht="30" customHeight="1">
      <c r="A28" s="100">
        <v>27</v>
      </c>
      <c r="B28" s="100" t="s">
        <v>200</v>
      </c>
      <c r="C28" s="101" t="s">
        <v>134</v>
      </c>
      <c r="D28" s="101" t="s">
        <v>134</v>
      </c>
      <c r="E28" s="101" t="s">
        <v>134</v>
      </c>
      <c r="F28" s="100" t="s">
        <v>134</v>
      </c>
      <c r="G28" s="100" t="s">
        <v>134</v>
      </c>
      <c r="H28" s="100" t="s">
        <v>134</v>
      </c>
      <c r="I28" s="100" t="s">
        <v>201</v>
      </c>
      <c r="J28" s="100" t="s">
        <v>873</v>
      </c>
      <c r="K28" s="100" t="s">
        <v>136</v>
      </c>
      <c r="L28" s="100" t="s">
        <v>204</v>
      </c>
      <c r="M28" s="100" t="s">
        <v>137</v>
      </c>
      <c r="N28" s="100"/>
      <c r="O28" s="102" t="s">
        <v>15</v>
      </c>
      <c r="P28" s="102" t="s">
        <v>15</v>
      </c>
      <c r="Q28" s="102" t="s">
        <v>15</v>
      </c>
      <c r="R28" s="102" t="s">
        <v>15</v>
      </c>
      <c r="S28" s="102" t="s">
        <v>15</v>
      </c>
      <c r="T28" s="102" t="s">
        <v>15</v>
      </c>
      <c r="U28" s="103" t="s">
        <v>41</v>
      </c>
      <c r="V28" s="103" t="s">
        <v>41</v>
      </c>
      <c r="W28" s="103" t="s">
        <v>41</v>
      </c>
      <c r="X28" s="103" t="s">
        <v>41</v>
      </c>
      <c r="Y28" s="103" t="s">
        <v>41</v>
      </c>
      <c r="Z28" s="103" t="s">
        <v>41</v>
      </c>
      <c r="AA28" s="100" t="s">
        <v>134</v>
      </c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</row>
    <row r="29" spans="1:41" ht="15.75" customHeight="1">
      <c r="A29" s="100">
        <v>28</v>
      </c>
      <c r="B29" s="100" t="s">
        <v>202</v>
      </c>
      <c r="C29" s="101" t="s">
        <v>134</v>
      </c>
      <c r="D29" s="101" t="s">
        <v>134</v>
      </c>
      <c r="E29" s="101" t="s">
        <v>134</v>
      </c>
      <c r="F29" s="100" t="s">
        <v>134</v>
      </c>
      <c r="G29" s="100" t="s">
        <v>134</v>
      </c>
      <c r="H29" s="100" t="s">
        <v>134</v>
      </c>
      <c r="I29" s="100" t="s">
        <v>203</v>
      </c>
      <c r="J29" s="100" t="s">
        <v>874</v>
      </c>
      <c r="K29" s="100" t="s">
        <v>136</v>
      </c>
      <c r="L29" s="100" t="s">
        <v>204</v>
      </c>
      <c r="M29" s="100" t="s">
        <v>137</v>
      </c>
      <c r="N29" s="100"/>
      <c r="O29" s="102" t="s">
        <v>15</v>
      </c>
      <c r="P29" s="102" t="s">
        <v>15</v>
      </c>
      <c r="Q29" s="102" t="s">
        <v>15</v>
      </c>
      <c r="R29" s="102" t="s">
        <v>15</v>
      </c>
      <c r="S29" s="102" t="s">
        <v>15</v>
      </c>
      <c r="T29" s="102" t="s">
        <v>15</v>
      </c>
      <c r="U29" s="103" t="s">
        <v>41</v>
      </c>
      <c r="V29" s="103" t="s">
        <v>41</v>
      </c>
      <c r="W29" s="103" t="s">
        <v>41</v>
      </c>
      <c r="X29" s="103" t="s">
        <v>41</v>
      </c>
      <c r="Y29" s="103" t="s">
        <v>41</v>
      </c>
      <c r="Z29" s="103" t="s">
        <v>41</v>
      </c>
      <c r="AA29" s="100" t="s">
        <v>134</v>
      </c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</row>
    <row r="30" spans="1:41" ht="15.75" customHeight="1">
      <c r="A30" s="100">
        <v>29</v>
      </c>
      <c r="B30" s="100" t="s">
        <v>205</v>
      </c>
      <c r="C30" s="101" t="s">
        <v>134</v>
      </c>
      <c r="D30" s="101" t="s">
        <v>134</v>
      </c>
      <c r="E30" s="101" t="s">
        <v>134</v>
      </c>
      <c r="F30" s="100" t="s">
        <v>134</v>
      </c>
      <c r="G30" s="100" t="s">
        <v>134</v>
      </c>
      <c r="H30" s="100" t="s">
        <v>134</v>
      </c>
      <c r="I30" s="100" t="s">
        <v>206</v>
      </c>
      <c r="J30" s="100" t="s">
        <v>875</v>
      </c>
      <c r="K30" s="100" t="s">
        <v>136</v>
      </c>
      <c r="L30" s="100" t="s">
        <v>204</v>
      </c>
      <c r="M30" s="100" t="s">
        <v>137</v>
      </c>
      <c r="N30" s="100"/>
      <c r="O30" s="102" t="s">
        <v>15</v>
      </c>
      <c r="P30" s="102" t="s">
        <v>15</v>
      </c>
      <c r="Q30" s="102" t="s">
        <v>15</v>
      </c>
      <c r="R30" s="102" t="s">
        <v>15</v>
      </c>
      <c r="S30" s="102" t="s">
        <v>15</v>
      </c>
      <c r="T30" s="102" t="s">
        <v>15</v>
      </c>
      <c r="U30" s="103" t="s">
        <v>41</v>
      </c>
      <c r="V30" s="103" t="s">
        <v>41</v>
      </c>
      <c r="W30" s="103" t="s">
        <v>41</v>
      </c>
      <c r="X30" s="103" t="s">
        <v>41</v>
      </c>
      <c r="Y30" s="103" t="s">
        <v>41</v>
      </c>
      <c r="Z30" s="103" t="s">
        <v>41</v>
      </c>
      <c r="AA30" s="100" t="s">
        <v>134</v>
      </c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</row>
    <row r="31" spans="1:41" ht="15.75" customHeight="1">
      <c r="A31" s="100">
        <v>30</v>
      </c>
      <c r="B31" s="100" t="s">
        <v>207</v>
      </c>
      <c r="C31" s="101" t="s">
        <v>134</v>
      </c>
      <c r="D31" s="101" t="s">
        <v>134</v>
      </c>
      <c r="E31" s="101" t="s">
        <v>134</v>
      </c>
      <c r="F31" s="100" t="s">
        <v>134</v>
      </c>
      <c r="G31" s="100" t="s">
        <v>134</v>
      </c>
      <c r="H31" s="100" t="s">
        <v>134</v>
      </c>
      <c r="I31" s="100" t="s">
        <v>208</v>
      </c>
      <c r="J31" s="100" t="s">
        <v>876</v>
      </c>
      <c r="K31" s="100" t="s">
        <v>136</v>
      </c>
      <c r="L31" s="100" t="s">
        <v>204</v>
      </c>
      <c r="M31" s="100" t="s">
        <v>137</v>
      </c>
      <c r="N31" s="100"/>
      <c r="O31" s="102" t="s">
        <v>15</v>
      </c>
      <c r="P31" s="102" t="s">
        <v>15</v>
      </c>
      <c r="Q31" s="102" t="s">
        <v>15</v>
      </c>
      <c r="R31" s="102" t="s">
        <v>15</v>
      </c>
      <c r="S31" s="102" t="s">
        <v>15</v>
      </c>
      <c r="T31" s="102" t="s">
        <v>15</v>
      </c>
      <c r="U31" s="103" t="s">
        <v>41</v>
      </c>
      <c r="V31" s="103" t="s">
        <v>41</v>
      </c>
      <c r="W31" s="103" t="s">
        <v>41</v>
      </c>
      <c r="X31" s="103" t="s">
        <v>41</v>
      </c>
      <c r="Y31" s="103" t="s">
        <v>41</v>
      </c>
      <c r="Z31" s="103" t="s">
        <v>41</v>
      </c>
      <c r="AA31" s="100" t="s">
        <v>134</v>
      </c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</row>
    <row r="32" spans="1:41" ht="15.75" customHeight="1">
      <c r="A32" s="100">
        <v>31</v>
      </c>
      <c r="B32" s="100" t="s">
        <v>209</v>
      </c>
      <c r="C32" s="101" t="s">
        <v>141</v>
      </c>
      <c r="D32" s="101" t="s">
        <v>141</v>
      </c>
      <c r="E32" s="101" t="s">
        <v>134</v>
      </c>
      <c r="F32" s="100" t="s">
        <v>141</v>
      </c>
      <c r="G32" s="100" t="s">
        <v>141</v>
      </c>
      <c r="H32" s="100" t="s">
        <v>141</v>
      </c>
      <c r="I32" s="100" t="s">
        <v>210</v>
      </c>
      <c r="J32" s="100" t="s">
        <v>877</v>
      </c>
      <c r="K32" s="100" t="s">
        <v>40</v>
      </c>
      <c r="L32" s="100"/>
      <c r="M32" s="100" t="s">
        <v>137</v>
      </c>
      <c r="N32" s="100"/>
      <c r="O32" s="102" t="s">
        <v>15</v>
      </c>
      <c r="P32" s="102" t="s">
        <v>15</v>
      </c>
      <c r="Q32" s="102" t="s">
        <v>15</v>
      </c>
      <c r="R32" s="102" t="s">
        <v>15</v>
      </c>
      <c r="S32" s="102" t="s">
        <v>15</v>
      </c>
      <c r="T32" s="102" t="s">
        <v>15</v>
      </c>
      <c r="U32" s="102" t="s">
        <v>15</v>
      </c>
      <c r="V32" s="102" t="s">
        <v>15</v>
      </c>
      <c r="W32" s="102" t="s">
        <v>15</v>
      </c>
      <c r="X32" s="103" t="s">
        <v>41</v>
      </c>
      <c r="Y32" s="102" t="s">
        <v>15</v>
      </c>
      <c r="Z32" s="102" t="s">
        <v>15</v>
      </c>
      <c r="AA32" s="100" t="s">
        <v>134</v>
      </c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</row>
    <row r="33" spans="1:41" ht="15.75" customHeight="1">
      <c r="A33" s="100">
        <v>32</v>
      </c>
      <c r="B33" s="100" t="s">
        <v>211</v>
      </c>
      <c r="C33" s="101" t="s">
        <v>134</v>
      </c>
      <c r="D33" s="101" t="s">
        <v>141</v>
      </c>
      <c r="E33" s="101" t="s">
        <v>141</v>
      </c>
      <c r="F33" s="100" t="s">
        <v>141</v>
      </c>
      <c r="G33" s="100" t="s">
        <v>141</v>
      </c>
      <c r="H33" s="100" t="s">
        <v>141</v>
      </c>
      <c r="I33" s="100" t="s">
        <v>212</v>
      </c>
      <c r="J33" s="100" t="s">
        <v>878</v>
      </c>
      <c r="K33" s="100" t="s">
        <v>40</v>
      </c>
      <c r="L33" s="100"/>
      <c r="M33" s="100" t="s">
        <v>137</v>
      </c>
      <c r="N33" s="100"/>
      <c r="O33" s="102" t="s">
        <v>15</v>
      </c>
      <c r="P33" s="102" t="s">
        <v>15</v>
      </c>
      <c r="Q33" s="102" t="s">
        <v>15</v>
      </c>
      <c r="R33" s="102" t="s">
        <v>15</v>
      </c>
      <c r="S33" s="102" t="s">
        <v>15</v>
      </c>
      <c r="T33" s="102" t="s">
        <v>15</v>
      </c>
      <c r="U33" s="102" t="s">
        <v>15</v>
      </c>
      <c r="V33" s="102" t="s">
        <v>15</v>
      </c>
      <c r="W33" s="102" t="s">
        <v>15</v>
      </c>
      <c r="X33" s="102" t="s">
        <v>15</v>
      </c>
      <c r="Y33" s="102" t="s">
        <v>15</v>
      </c>
      <c r="Z33" s="103" t="s">
        <v>41</v>
      </c>
      <c r="AA33" s="100" t="s">
        <v>134</v>
      </c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</row>
    <row r="34" spans="1:41" ht="15.75" customHeight="1">
      <c r="A34" s="100">
        <v>33</v>
      </c>
      <c r="B34" s="100" t="s">
        <v>213</v>
      </c>
      <c r="C34" s="101" t="s">
        <v>141</v>
      </c>
      <c r="D34" s="101" t="s">
        <v>134</v>
      </c>
      <c r="E34" s="101" t="s">
        <v>141</v>
      </c>
      <c r="F34" s="100" t="s">
        <v>141</v>
      </c>
      <c r="G34" s="100" t="s">
        <v>141</v>
      </c>
      <c r="H34" s="100" t="s">
        <v>141</v>
      </c>
      <c r="I34" s="100" t="s">
        <v>214</v>
      </c>
      <c r="J34" s="100" t="s">
        <v>879</v>
      </c>
      <c r="K34" s="100" t="s">
        <v>40</v>
      </c>
      <c r="L34" s="100"/>
      <c r="M34" s="100" t="s">
        <v>137</v>
      </c>
      <c r="N34" s="100"/>
      <c r="O34" s="102" t="s">
        <v>15</v>
      </c>
      <c r="P34" s="102" t="s">
        <v>15</v>
      </c>
      <c r="Q34" s="102" t="s">
        <v>15</v>
      </c>
      <c r="R34" s="102" t="s">
        <v>15</v>
      </c>
      <c r="S34" s="102" t="s">
        <v>15</v>
      </c>
      <c r="T34" s="102" t="s">
        <v>15</v>
      </c>
      <c r="U34" s="102" t="s">
        <v>15</v>
      </c>
      <c r="V34" s="102" t="s">
        <v>15</v>
      </c>
      <c r="W34" s="102" t="s">
        <v>15</v>
      </c>
      <c r="X34" s="102" t="s">
        <v>15</v>
      </c>
      <c r="Y34" s="103" t="s">
        <v>41</v>
      </c>
      <c r="Z34" s="102" t="s">
        <v>15</v>
      </c>
      <c r="AA34" s="100" t="s">
        <v>134</v>
      </c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</row>
    <row r="35" spans="1:41" ht="15.75" customHeight="1">
      <c r="A35" s="100">
        <v>34</v>
      </c>
      <c r="B35" s="100" t="s">
        <v>215</v>
      </c>
      <c r="C35" s="101" t="s">
        <v>141</v>
      </c>
      <c r="D35" s="101" t="s">
        <v>141</v>
      </c>
      <c r="E35" s="101" t="s">
        <v>141</v>
      </c>
      <c r="F35" s="100" t="s">
        <v>141</v>
      </c>
      <c r="G35" s="100" t="s">
        <v>141</v>
      </c>
      <c r="H35" s="100" t="s">
        <v>134</v>
      </c>
      <c r="I35" s="100" t="s">
        <v>216</v>
      </c>
      <c r="J35" s="100" t="s">
        <v>880</v>
      </c>
      <c r="K35" s="100" t="s">
        <v>40</v>
      </c>
      <c r="L35" s="100"/>
      <c r="M35" s="100" t="s">
        <v>137</v>
      </c>
      <c r="N35" s="100"/>
      <c r="O35" s="102" t="s">
        <v>15</v>
      </c>
      <c r="P35" s="102" t="s">
        <v>15</v>
      </c>
      <c r="Q35" s="102" t="s">
        <v>15</v>
      </c>
      <c r="R35" s="102" t="s">
        <v>15</v>
      </c>
      <c r="S35" s="102" t="s">
        <v>15</v>
      </c>
      <c r="T35" s="102" t="s">
        <v>15</v>
      </c>
      <c r="U35" s="102" t="s">
        <v>15</v>
      </c>
      <c r="V35" s="102" t="s">
        <v>15</v>
      </c>
      <c r="W35" s="103" t="s">
        <v>41</v>
      </c>
      <c r="X35" s="102" t="s">
        <v>15</v>
      </c>
      <c r="Y35" s="102" t="s">
        <v>15</v>
      </c>
      <c r="Z35" s="102" t="s">
        <v>15</v>
      </c>
      <c r="AA35" s="100" t="s">
        <v>134</v>
      </c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</row>
    <row r="36" spans="1:41" ht="15.75" customHeight="1">
      <c r="A36" s="100">
        <v>35</v>
      </c>
      <c r="B36" s="100" t="s">
        <v>217</v>
      </c>
      <c r="C36" s="101" t="s">
        <v>141</v>
      </c>
      <c r="D36" s="101" t="s">
        <v>141</v>
      </c>
      <c r="E36" s="101" t="s">
        <v>141</v>
      </c>
      <c r="F36" s="100" t="s">
        <v>141</v>
      </c>
      <c r="G36" s="100" t="s">
        <v>141</v>
      </c>
      <c r="H36" s="100" t="s">
        <v>134</v>
      </c>
      <c r="I36" s="100" t="s">
        <v>218</v>
      </c>
      <c r="J36" s="100" t="s">
        <v>881</v>
      </c>
      <c r="K36" s="100" t="s">
        <v>40</v>
      </c>
      <c r="L36" s="100"/>
      <c r="M36" s="100" t="s">
        <v>137</v>
      </c>
      <c r="N36" s="100"/>
      <c r="O36" s="102" t="s">
        <v>15</v>
      </c>
      <c r="P36" s="102" t="s">
        <v>15</v>
      </c>
      <c r="Q36" s="102" t="s">
        <v>15</v>
      </c>
      <c r="R36" s="102" t="s">
        <v>15</v>
      </c>
      <c r="S36" s="102" t="s">
        <v>15</v>
      </c>
      <c r="T36" s="102" t="s">
        <v>15</v>
      </c>
      <c r="U36" s="102" t="s">
        <v>15</v>
      </c>
      <c r="V36" s="102" t="s">
        <v>15</v>
      </c>
      <c r="W36" s="103" t="s">
        <v>41</v>
      </c>
      <c r="X36" s="102" t="s">
        <v>15</v>
      </c>
      <c r="Y36" s="102" t="s">
        <v>15</v>
      </c>
      <c r="Z36" s="102" t="s">
        <v>15</v>
      </c>
      <c r="AA36" s="100" t="s">
        <v>134</v>
      </c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</row>
    <row r="37" spans="1:41" ht="15.75" customHeight="1">
      <c r="A37" s="100">
        <v>36</v>
      </c>
      <c r="B37" s="100" t="s">
        <v>219</v>
      </c>
      <c r="C37" s="101" t="s">
        <v>141</v>
      </c>
      <c r="D37" s="101" t="s">
        <v>141</v>
      </c>
      <c r="E37" s="101" t="s">
        <v>141</v>
      </c>
      <c r="F37" s="100" t="s">
        <v>141</v>
      </c>
      <c r="G37" s="100" t="s">
        <v>141</v>
      </c>
      <c r="H37" s="100" t="s">
        <v>134</v>
      </c>
      <c r="I37" s="100" t="s">
        <v>220</v>
      </c>
      <c r="J37" s="100" t="s">
        <v>882</v>
      </c>
      <c r="K37" s="100" t="s">
        <v>40</v>
      </c>
      <c r="L37" s="100"/>
      <c r="M37" s="100" t="s">
        <v>137</v>
      </c>
      <c r="N37" s="100"/>
      <c r="O37" s="102" t="s">
        <v>15</v>
      </c>
      <c r="P37" s="102" t="s">
        <v>15</v>
      </c>
      <c r="Q37" s="102" t="s">
        <v>15</v>
      </c>
      <c r="R37" s="102" t="s">
        <v>15</v>
      </c>
      <c r="S37" s="102" t="s">
        <v>15</v>
      </c>
      <c r="T37" s="102" t="s">
        <v>15</v>
      </c>
      <c r="U37" s="102" t="s">
        <v>15</v>
      </c>
      <c r="V37" s="102" t="s">
        <v>15</v>
      </c>
      <c r="W37" s="103" t="s">
        <v>41</v>
      </c>
      <c r="X37" s="102" t="s">
        <v>15</v>
      </c>
      <c r="Y37" s="102" t="s">
        <v>15</v>
      </c>
      <c r="Z37" s="102" t="s">
        <v>15</v>
      </c>
      <c r="AA37" s="100" t="s">
        <v>134</v>
      </c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</row>
    <row r="38" spans="1:41" ht="15.75" customHeight="1">
      <c r="A38" s="100">
        <v>37</v>
      </c>
      <c r="B38" s="100" t="s">
        <v>221</v>
      </c>
      <c r="C38" s="101" t="s">
        <v>141</v>
      </c>
      <c r="D38" s="101" t="s">
        <v>141</v>
      </c>
      <c r="E38" s="101" t="s">
        <v>141</v>
      </c>
      <c r="F38" s="100" t="s">
        <v>134</v>
      </c>
      <c r="G38" s="100" t="s">
        <v>141</v>
      </c>
      <c r="H38" s="100" t="s">
        <v>141</v>
      </c>
      <c r="I38" s="100" t="s">
        <v>222</v>
      </c>
      <c r="J38" s="100" t="s">
        <v>883</v>
      </c>
      <c r="K38" s="100" t="s">
        <v>40</v>
      </c>
      <c r="L38" s="100"/>
      <c r="M38" s="100" t="s">
        <v>137</v>
      </c>
      <c r="N38" s="100"/>
      <c r="O38" s="102" t="s">
        <v>15</v>
      </c>
      <c r="P38" s="102" t="s">
        <v>15</v>
      </c>
      <c r="Q38" s="102" t="s">
        <v>15</v>
      </c>
      <c r="R38" s="102" t="s">
        <v>15</v>
      </c>
      <c r="S38" s="102" t="s">
        <v>15</v>
      </c>
      <c r="T38" s="102" t="s">
        <v>15</v>
      </c>
      <c r="U38" s="103" t="s">
        <v>41</v>
      </c>
      <c r="V38" s="102" t="s">
        <v>15</v>
      </c>
      <c r="W38" s="102" t="s">
        <v>15</v>
      </c>
      <c r="X38" s="102" t="s">
        <v>15</v>
      </c>
      <c r="Y38" s="102" t="s">
        <v>15</v>
      </c>
      <c r="Z38" s="102" t="s">
        <v>15</v>
      </c>
      <c r="AA38" s="100" t="s">
        <v>134</v>
      </c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</row>
    <row r="39" spans="1:41" ht="15.75" customHeight="1">
      <c r="A39" s="100">
        <v>38</v>
      </c>
      <c r="B39" s="100" t="s">
        <v>223</v>
      </c>
      <c r="C39" s="101" t="s">
        <v>141</v>
      </c>
      <c r="D39" s="101" t="s">
        <v>141</v>
      </c>
      <c r="E39" s="101" t="s">
        <v>141</v>
      </c>
      <c r="F39" s="100" t="s">
        <v>134</v>
      </c>
      <c r="G39" s="100" t="s">
        <v>141</v>
      </c>
      <c r="H39" s="100" t="s">
        <v>141</v>
      </c>
      <c r="I39" s="100" t="s">
        <v>224</v>
      </c>
      <c r="J39" s="100" t="s">
        <v>884</v>
      </c>
      <c r="K39" s="100" t="s">
        <v>40</v>
      </c>
      <c r="L39" s="100"/>
      <c r="M39" s="100" t="s">
        <v>137</v>
      </c>
      <c r="N39" s="100"/>
      <c r="O39" s="102" t="s">
        <v>15</v>
      </c>
      <c r="P39" s="102" t="s">
        <v>15</v>
      </c>
      <c r="Q39" s="102" t="s">
        <v>15</v>
      </c>
      <c r="R39" s="102" t="s">
        <v>15</v>
      </c>
      <c r="S39" s="102" t="s">
        <v>15</v>
      </c>
      <c r="T39" s="102" t="s">
        <v>15</v>
      </c>
      <c r="U39" s="103" t="s">
        <v>41</v>
      </c>
      <c r="V39" s="102" t="s">
        <v>15</v>
      </c>
      <c r="W39" s="102" t="s">
        <v>15</v>
      </c>
      <c r="X39" s="102" t="s">
        <v>15</v>
      </c>
      <c r="Y39" s="102" t="s">
        <v>15</v>
      </c>
      <c r="Z39" s="102" t="s">
        <v>15</v>
      </c>
      <c r="AA39" s="100" t="s">
        <v>134</v>
      </c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</row>
    <row r="40" spans="1:41" ht="15.75" customHeight="1">
      <c r="A40" s="100">
        <v>39</v>
      </c>
      <c r="B40" s="100" t="s">
        <v>225</v>
      </c>
      <c r="C40" s="101" t="s">
        <v>141</v>
      </c>
      <c r="D40" s="101" t="s">
        <v>141</v>
      </c>
      <c r="E40" s="101" t="s">
        <v>141</v>
      </c>
      <c r="F40" s="100" t="s">
        <v>134</v>
      </c>
      <c r="G40" s="100" t="s">
        <v>141</v>
      </c>
      <c r="H40" s="100" t="s">
        <v>141</v>
      </c>
      <c r="I40" s="100" t="s">
        <v>226</v>
      </c>
      <c r="J40" s="104" t="s">
        <v>885</v>
      </c>
      <c r="K40" s="100" t="s">
        <v>40</v>
      </c>
      <c r="L40" s="100"/>
      <c r="M40" s="100" t="s">
        <v>137</v>
      </c>
      <c r="N40" s="100"/>
      <c r="O40" s="102" t="s">
        <v>15</v>
      </c>
      <c r="P40" s="102" t="s">
        <v>15</v>
      </c>
      <c r="Q40" s="102" t="s">
        <v>15</v>
      </c>
      <c r="R40" s="102" t="s">
        <v>15</v>
      </c>
      <c r="S40" s="102" t="s">
        <v>15</v>
      </c>
      <c r="T40" s="102" t="s">
        <v>15</v>
      </c>
      <c r="U40" s="103" t="s">
        <v>41</v>
      </c>
      <c r="V40" s="102" t="s">
        <v>15</v>
      </c>
      <c r="W40" s="102" t="s">
        <v>15</v>
      </c>
      <c r="X40" s="102" t="s">
        <v>15</v>
      </c>
      <c r="Y40" s="102" t="s">
        <v>15</v>
      </c>
      <c r="Z40" s="102" t="s">
        <v>15</v>
      </c>
      <c r="AA40" s="100" t="s">
        <v>134</v>
      </c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</row>
    <row r="41" spans="1:41" ht="15.75" customHeight="1">
      <c r="A41" s="100">
        <v>40</v>
      </c>
      <c r="B41" s="100" t="s">
        <v>227</v>
      </c>
      <c r="C41" s="101" t="s">
        <v>141</v>
      </c>
      <c r="D41" s="101" t="s">
        <v>141</v>
      </c>
      <c r="E41" s="101" t="s">
        <v>141</v>
      </c>
      <c r="F41" s="100" t="s">
        <v>141</v>
      </c>
      <c r="G41" s="100" t="s">
        <v>134</v>
      </c>
      <c r="H41" s="100" t="s">
        <v>141</v>
      </c>
      <c r="I41" s="100" t="s">
        <v>228</v>
      </c>
      <c r="J41" s="100" t="s">
        <v>886</v>
      </c>
      <c r="K41" s="100" t="s">
        <v>40</v>
      </c>
      <c r="L41" s="100"/>
      <c r="M41" s="100" t="s">
        <v>137</v>
      </c>
      <c r="N41" s="100"/>
      <c r="O41" s="102" t="s">
        <v>15</v>
      </c>
      <c r="P41" s="102" t="s">
        <v>15</v>
      </c>
      <c r="Q41" s="102" t="s">
        <v>15</v>
      </c>
      <c r="R41" s="102" t="s">
        <v>15</v>
      </c>
      <c r="S41" s="102" t="s">
        <v>15</v>
      </c>
      <c r="T41" s="102" t="s">
        <v>15</v>
      </c>
      <c r="U41" s="102" t="s">
        <v>15</v>
      </c>
      <c r="V41" s="103" t="s">
        <v>41</v>
      </c>
      <c r="W41" s="102" t="s">
        <v>15</v>
      </c>
      <c r="X41" s="102" t="s">
        <v>15</v>
      </c>
      <c r="Y41" s="102" t="s">
        <v>15</v>
      </c>
      <c r="Z41" s="102" t="s">
        <v>15</v>
      </c>
      <c r="AA41" s="100" t="s">
        <v>134</v>
      </c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</row>
    <row r="42" spans="1:41" ht="15.75" customHeight="1">
      <c r="A42" s="100">
        <v>41</v>
      </c>
      <c r="B42" s="100" t="s">
        <v>229</v>
      </c>
      <c r="C42" s="101" t="s">
        <v>141</v>
      </c>
      <c r="D42" s="101" t="s">
        <v>141</v>
      </c>
      <c r="E42" s="101" t="s">
        <v>141</v>
      </c>
      <c r="F42" s="100" t="s">
        <v>141</v>
      </c>
      <c r="G42" s="100" t="s">
        <v>134</v>
      </c>
      <c r="H42" s="100" t="s">
        <v>141</v>
      </c>
      <c r="I42" s="100" t="s">
        <v>230</v>
      </c>
      <c r="J42" s="100" t="s">
        <v>887</v>
      </c>
      <c r="K42" s="100" t="s">
        <v>232</v>
      </c>
      <c r="L42" s="100" t="s">
        <v>233</v>
      </c>
      <c r="M42" s="100" t="s">
        <v>137</v>
      </c>
      <c r="N42" s="100"/>
      <c r="O42" s="102" t="s">
        <v>15</v>
      </c>
      <c r="P42" s="102" t="s">
        <v>15</v>
      </c>
      <c r="Q42" s="102" t="s">
        <v>15</v>
      </c>
      <c r="R42" s="102" t="s">
        <v>15</v>
      </c>
      <c r="S42" s="102" t="s">
        <v>15</v>
      </c>
      <c r="T42" s="102" t="s">
        <v>15</v>
      </c>
      <c r="U42" s="102" t="s">
        <v>15</v>
      </c>
      <c r="V42" s="103" t="s">
        <v>41</v>
      </c>
      <c r="W42" s="102" t="s">
        <v>15</v>
      </c>
      <c r="X42" s="102" t="s">
        <v>15</v>
      </c>
      <c r="Y42" s="102" t="s">
        <v>15</v>
      </c>
      <c r="Z42" s="102" t="s">
        <v>15</v>
      </c>
      <c r="AA42" s="100" t="s">
        <v>134</v>
      </c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</row>
    <row r="43" spans="1:41" ht="15.75" customHeight="1">
      <c r="A43" s="100">
        <v>45</v>
      </c>
      <c r="B43" s="100" t="s">
        <v>234</v>
      </c>
      <c r="C43" s="101" t="s">
        <v>141</v>
      </c>
      <c r="D43" s="101" t="s">
        <v>141</v>
      </c>
      <c r="E43" s="101" t="s">
        <v>141</v>
      </c>
      <c r="F43" s="100" t="s">
        <v>134</v>
      </c>
      <c r="G43" s="100" t="s">
        <v>141</v>
      </c>
      <c r="H43" s="100" t="s">
        <v>141</v>
      </c>
      <c r="I43" s="100" t="s">
        <v>235</v>
      </c>
      <c r="J43" s="100" t="s">
        <v>888</v>
      </c>
      <c r="K43" s="100" t="s">
        <v>232</v>
      </c>
      <c r="L43" s="100" t="s">
        <v>233</v>
      </c>
      <c r="M43" s="100" t="s">
        <v>137</v>
      </c>
      <c r="N43" s="100"/>
      <c r="O43" s="102" t="s">
        <v>15</v>
      </c>
      <c r="P43" s="102" t="s">
        <v>15</v>
      </c>
      <c r="Q43" s="102" t="s">
        <v>15</v>
      </c>
      <c r="R43" s="102" t="s">
        <v>15</v>
      </c>
      <c r="S43" s="102" t="s">
        <v>15</v>
      </c>
      <c r="T43" s="102" t="s">
        <v>15</v>
      </c>
      <c r="U43" s="103" t="s">
        <v>41</v>
      </c>
      <c r="V43" s="102" t="s">
        <v>15</v>
      </c>
      <c r="W43" s="102" t="s">
        <v>15</v>
      </c>
      <c r="X43" s="102" t="s">
        <v>15</v>
      </c>
      <c r="Y43" s="102" t="s">
        <v>15</v>
      </c>
      <c r="Z43" s="102" t="s">
        <v>15</v>
      </c>
      <c r="AA43" s="100" t="s">
        <v>134</v>
      </c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</row>
    <row r="44" spans="1:41" ht="15.75" customHeight="1">
      <c r="A44" s="100">
        <v>42</v>
      </c>
      <c r="B44" s="101" t="s">
        <v>237</v>
      </c>
      <c r="C44" s="101" t="s">
        <v>141</v>
      </c>
      <c r="D44" s="101" t="s">
        <v>141</v>
      </c>
      <c r="E44" s="101" t="s">
        <v>141</v>
      </c>
      <c r="F44" s="100" t="s">
        <v>141</v>
      </c>
      <c r="G44" s="100" t="s">
        <v>141</v>
      </c>
      <c r="H44" s="100" t="s">
        <v>134</v>
      </c>
      <c r="I44" s="100" t="s">
        <v>238</v>
      </c>
      <c r="J44" s="100" t="s">
        <v>889</v>
      </c>
      <c r="K44" s="100" t="s">
        <v>232</v>
      </c>
      <c r="L44" s="100" t="s">
        <v>233</v>
      </c>
      <c r="M44" s="100" t="s">
        <v>137</v>
      </c>
      <c r="N44" s="100"/>
      <c r="O44" s="102" t="s">
        <v>15</v>
      </c>
      <c r="P44" s="102" t="s">
        <v>15</v>
      </c>
      <c r="Q44" s="102" t="s">
        <v>15</v>
      </c>
      <c r="R44" s="102" t="s">
        <v>15</v>
      </c>
      <c r="S44" s="102" t="s">
        <v>15</v>
      </c>
      <c r="T44" s="102" t="s">
        <v>15</v>
      </c>
      <c r="U44" s="102" t="s">
        <v>15</v>
      </c>
      <c r="V44" s="102" t="s">
        <v>15</v>
      </c>
      <c r="W44" s="103" t="s">
        <v>41</v>
      </c>
      <c r="X44" s="102" t="s">
        <v>15</v>
      </c>
      <c r="Y44" s="102" t="s">
        <v>15</v>
      </c>
      <c r="Z44" s="102" t="s">
        <v>15</v>
      </c>
      <c r="AA44" s="100" t="s">
        <v>134</v>
      </c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</row>
    <row r="45" spans="1:41" ht="15.75" customHeight="1">
      <c r="A45" s="100">
        <v>43</v>
      </c>
      <c r="B45" s="100" t="s">
        <v>240</v>
      </c>
      <c r="C45" s="101" t="s">
        <v>141</v>
      </c>
      <c r="D45" s="101" t="s">
        <v>141</v>
      </c>
      <c r="E45" s="101" t="s">
        <v>141</v>
      </c>
      <c r="F45" s="100" t="s">
        <v>141</v>
      </c>
      <c r="G45" s="100" t="s">
        <v>141</v>
      </c>
      <c r="H45" s="100" t="s">
        <v>134</v>
      </c>
      <c r="I45" s="100" t="s">
        <v>241</v>
      </c>
      <c r="J45" s="100" t="s">
        <v>890</v>
      </c>
      <c r="K45" s="100" t="s">
        <v>232</v>
      </c>
      <c r="L45" s="100" t="s">
        <v>233</v>
      </c>
      <c r="M45" s="100" t="s">
        <v>137</v>
      </c>
      <c r="N45" s="100"/>
      <c r="O45" s="102" t="s">
        <v>15</v>
      </c>
      <c r="P45" s="102" t="s">
        <v>15</v>
      </c>
      <c r="Q45" s="102" t="s">
        <v>15</v>
      </c>
      <c r="R45" s="102" t="s">
        <v>15</v>
      </c>
      <c r="S45" s="102" t="s">
        <v>15</v>
      </c>
      <c r="T45" s="102" t="s">
        <v>15</v>
      </c>
      <c r="U45" s="102" t="s">
        <v>15</v>
      </c>
      <c r="V45" s="102" t="s">
        <v>15</v>
      </c>
      <c r="W45" s="103" t="s">
        <v>41</v>
      </c>
      <c r="X45" s="102" t="s">
        <v>15</v>
      </c>
      <c r="Y45" s="102" t="s">
        <v>15</v>
      </c>
      <c r="Z45" s="102" t="s">
        <v>15</v>
      </c>
      <c r="AA45" s="100" t="s">
        <v>134</v>
      </c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</row>
    <row r="46" spans="1:41" ht="15.75" customHeight="1">
      <c r="A46" s="100">
        <v>44</v>
      </c>
      <c r="B46" s="100" t="s">
        <v>243</v>
      </c>
      <c r="C46" s="101" t="s">
        <v>141</v>
      </c>
      <c r="D46" s="101" t="s">
        <v>141</v>
      </c>
      <c r="E46" s="101" t="s">
        <v>141</v>
      </c>
      <c r="F46" s="100" t="s">
        <v>141</v>
      </c>
      <c r="G46" s="100" t="s">
        <v>141</v>
      </c>
      <c r="H46" s="100" t="s">
        <v>134</v>
      </c>
      <c r="I46" s="100" t="s">
        <v>244</v>
      </c>
      <c r="J46" s="100" t="s">
        <v>891</v>
      </c>
      <c r="K46" s="100" t="s">
        <v>232</v>
      </c>
      <c r="L46" s="100" t="s">
        <v>233</v>
      </c>
      <c r="M46" s="100" t="s">
        <v>137</v>
      </c>
      <c r="N46" s="100"/>
      <c r="O46" s="102" t="s">
        <v>15</v>
      </c>
      <c r="P46" s="102" t="s">
        <v>15</v>
      </c>
      <c r="Q46" s="102" t="s">
        <v>15</v>
      </c>
      <c r="R46" s="102" t="s">
        <v>15</v>
      </c>
      <c r="S46" s="102" t="s">
        <v>15</v>
      </c>
      <c r="T46" s="102" t="s">
        <v>15</v>
      </c>
      <c r="U46" s="102" t="s">
        <v>15</v>
      </c>
      <c r="V46" s="102" t="s">
        <v>15</v>
      </c>
      <c r="W46" s="103" t="s">
        <v>41</v>
      </c>
      <c r="X46" s="102" t="s">
        <v>15</v>
      </c>
      <c r="Y46" s="102" t="s">
        <v>15</v>
      </c>
      <c r="Z46" s="102" t="s">
        <v>15</v>
      </c>
      <c r="AA46" s="100" t="s">
        <v>134</v>
      </c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</row>
    <row r="47" spans="1:41" ht="15.75" customHeight="1">
      <c r="A47" s="100">
        <v>46</v>
      </c>
      <c r="B47" s="100" t="s">
        <v>246</v>
      </c>
      <c r="C47" s="101" t="s">
        <v>141</v>
      </c>
      <c r="D47" s="101" t="s">
        <v>141</v>
      </c>
      <c r="E47" s="101" t="s">
        <v>141</v>
      </c>
      <c r="F47" s="100" t="s">
        <v>141</v>
      </c>
      <c r="G47" s="100" t="s">
        <v>134</v>
      </c>
      <c r="H47" s="100" t="s">
        <v>141</v>
      </c>
      <c r="I47" s="100" t="s">
        <v>247</v>
      </c>
      <c r="J47" s="100" t="s">
        <v>892</v>
      </c>
      <c r="K47" s="100" t="s">
        <v>232</v>
      </c>
      <c r="L47" s="100" t="s">
        <v>233</v>
      </c>
      <c r="M47" s="100" t="s">
        <v>137</v>
      </c>
      <c r="N47" s="100"/>
      <c r="O47" s="102" t="s">
        <v>15</v>
      </c>
      <c r="P47" s="102" t="s">
        <v>15</v>
      </c>
      <c r="Q47" s="102" t="s">
        <v>15</v>
      </c>
      <c r="R47" s="102" t="s">
        <v>15</v>
      </c>
      <c r="S47" s="102" t="s">
        <v>15</v>
      </c>
      <c r="T47" s="102" t="s">
        <v>15</v>
      </c>
      <c r="U47" s="102" t="s">
        <v>15</v>
      </c>
      <c r="V47" s="103" t="s">
        <v>41</v>
      </c>
      <c r="W47" s="102" t="s">
        <v>15</v>
      </c>
      <c r="X47" s="102" t="s">
        <v>15</v>
      </c>
      <c r="Y47" s="102" t="s">
        <v>15</v>
      </c>
      <c r="Z47" s="102" t="s">
        <v>15</v>
      </c>
      <c r="AA47" s="100" t="s">
        <v>134</v>
      </c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</row>
    <row r="48" spans="1:41" ht="15.75" customHeight="1">
      <c r="A48" s="100">
        <v>58</v>
      </c>
      <c r="B48" s="100" t="s">
        <v>249</v>
      </c>
      <c r="C48" s="101" t="s">
        <v>141</v>
      </c>
      <c r="D48" s="101" t="s">
        <v>134</v>
      </c>
      <c r="E48" s="101" t="s">
        <v>141</v>
      </c>
      <c r="F48" s="100" t="s">
        <v>141</v>
      </c>
      <c r="G48" s="100" t="s">
        <v>141</v>
      </c>
      <c r="H48" s="100" t="s">
        <v>141</v>
      </c>
      <c r="I48" s="100" t="s">
        <v>250</v>
      </c>
      <c r="J48" s="100" t="s">
        <v>887</v>
      </c>
      <c r="K48" s="100" t="s">
        <v>232</v>
      </c>
      <c r="L48" s="100" t="s">
        <v>233</v>
      </c>
      <c r="M48" s="100" t="s">
        <v>137</v>
      </c>
      <c r="N48" s="100"/>
      <c r="O48" s="102" t="s">
        <v>15</v>
      </c>
      <c r="P48" s="102" t="s">
        <v>15</v>
      </c>
      <c r="Q48" s="102" t="s">
        <v>15</v>
      </c>
      <c r="R48" s="102" t="s">
        <v>15</v>
      </c>
      <c r="S48" s="102" t="s">
        <v>15</v>
      </c>
      <c r="T48" s="102" t="s">
        <v>15</v>
      </c>
      <c r="U48" s="102" t="s">
        <v>15</v>
      </c>
      <c r="V48" s="102" t="s">
        <v>15</v>
      </c>
      <c r="W48" s="102" t="s">
        <v>15</v>
      </c>
      <c r="X48" s="102" t="s">
        <v>15</v>
      </c>
      <c r="Y48" s="103" t="s">
        <v>41</v>
      </c>
      <c r="Z48" s="102" t="s">
        <v>15</v>
      </c>
      <c r="AA48" s="100" t="s">
        <v>134</v>
      </c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</row>
    <row r="49" spans="1:41" ht="15.75" customHeight="1">
      <c r="A49" s="100">
        <v>57</v>
      </c>
      <c r="B49" s="100" t="s">
        <v>252</v>
      </c>
      <c r="C49" s="101" t="s">
        <v>134</v>
      </c>
      <c r="D49" s="101" t="s">
        <v>141</v>
      </c>
      <c r="E49" s="101" t="s">
        <v>141</v>
      </c>
      <c r="F49" s="100" t="s">
        <v>141</v>
      </c>
      <c r="G49" s="100" t="s">
        <v>141</v>
      </c>
      <c r="H49" s="100" t="s">
        <v>141</v>
      </c>
      <c r="I49" s="100" t="s">
        <v>253</v>
      </c>
      <c r="J49" s="100" t="s">
        <v>888</v>
      </c>
      <c r="K49" s="100" t="s">
        <v>232</v>
      </c>
      <c r="L49" s="100" t="s">
        <v>233</v>
      </c>
      <c r="M49" s="100" t="s">
        <v>137</v>
      </c>
      <c r="N49" s="100"/>
      <c r="O49" s="102" t="s">
        <v>15</v>
      </c>
      <c r="P49" s="102" t="s">
        <v>15</v>
      </c>
      <c r="Q49" s="102" t="s">
        <v>15</v>
      </c>
      <c r="R49" s="102" t="s">
        <v>15</v>
      </c>
      <c r="S49" s="102" t="s">
        <v>15</v>
      </c>
      <c r="T49" s="102" t="s">
        <v>15</v>
      </c>
      <c r="U49" s="102" t="s">
        <v>15</v>
      </c>
      <c r="V49" s="102" t="s">
        <v>15</v>
      </c>
      <c r="W49" s="102" t="s">
        <v>15</v>
      </c>
      <c r="X49" s="102" t="s">
        <v>15</v>
      </c>
      <c r="Y49" s="102" t="s">
        <v>15</v>
      </c>
      <c r="Z49" s="103" t="s">
        <v>41</v>
      </c>
      <c r="AA49" s="100" t="s">
        <v>134</v>
      </c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</row>
    <row r="50" spans="1:41" ht="15.75" customHeight="1">
      <c r="A50" s="100">
        <v>56</v>
      </c>
      <c r="B50" s="100" t="s">
        <v>255</v>
      </c>
      <c r="C50" s="101" t="s">
        <v>141</v>
      </c>
      <c r="D50" s="101" t="s">
        <v>141</v>
      </c>
      <c r="E50" s="101" t="s">
        <v>134</v>
      </c>
      <c r="F50" s="100" t="s">
        <v>141</v>
      </c>
      <c r="G50" s="100" t="s">
        <v>141</v>
      </c>
      <c r="H50" s="100" t="s">
        <v>141</v>
      </c>
      <c r="I50" s="100" t="s">
        <v>256</v>
      </c>
      <c r="J50" s="100" t="s">
        <v>893</v>
      </c>
      <c r="K50" s="100" t="s">
        <v>232</v>
      </c>
      <c r="L50" s="100" t="s">
        <v>233</v>
      </c>
      <c r="M50" s="100" t="s">
        <v>137</v>
      </c>
      <c r="N50" s="100"/>
      <c r="O50" s="102" t="s">
        <v>15</v>
      </c>
      <c r="P50" s="102" t="s">
        <v>15</v>
      </c>
      <c r="Q50" s="102" t="s">
        <v>15</v>
      </c>
      <c r="R50" s="102" t="s">
        <v>15</v>
      </c>
      <c r="S50" s="102" t="s">
        <v>15</v>
      </c>
      <c r="T50" s="102" t="s">
        <v>15</v>
      </c>
      <c r="U50" s="102" t="s">
        <v>15</v>
      </c>
      <c r="V50" s="102" t="s">
        <v>15</v>
      </c>
      <c r="W50" s="102" t="s">
        <v>15</v>
      </c>
      <c r="X50" s="103" t="s">
        <v>41</v>
      </c>
      <c r="Y50" s="102" t="s">
        <v>15</v>
      </c>
      <c r="Z50" s="102" t="s">
        <v>15</v>
      </c>
      <c r="AA50" s="100" t="s">
        <v>134</v>
      </c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</row>
    <row r="51" spans="1:41" ht="15.75" customHeight="1">
      <c r="A51" s="100">
        <v>51</v>
      </c>
      <c r="B51" s="100" t="s">
        <v>258</v>
      </c>
      <c r="C51" s="101" t="s">
        <v>141</v>
      </c>
      <c r="D51" s="101" t="s">
        <v>141</v>
      </c>
      <c r="E51" s="101" t="s">
        <v>141</v>
      </c>
      <c r="F51" s="100" t="s">
        <v>141</v>
      </c>
      <c r="G51" s="100" t="s">
        <v>134</v>
      </c>
      <c r="H51" s="100" t="s">
        <v>141</v>
      </c>
      <c r="I51" s="100" t="s">
        <v>259</v>
      </c>
      <c r="J51" s="100" t="s">
        <v>894</v>
      </c>
      <c r="K51" s="100" t="s">
        <v>261</v>
      </c>
      <c r="L51" s="100" t="s">
        <v>262</v>
      </c>
      <c r="M51" s="100" t="s">
        <v>137</v>
      </c>
      <c r="N51" s="100"/>
      <c r="O51" s="102" t="s">
        <v>15</v>
      </c>
      <c r="P51" s="102" t="s">
        <v>15</v>
      </c>
      <c r="Q51" s="102" t="s">
        <v>15</v>
      </c>
      <c r="R51" s="102" t="s">
        <v>15</v>
      </c>
      <c r="S51" s="102" t="s">
        <v>15</v>
      </c>
      <c r="T51" s="102" t="s">
        <v>15</v>
      </c>
      <c r="U51" s="102" t="s">
        <v>15</v>
      </c>
      <c r="V51" s="103" t="s">
        <v>41</v>
      </c>
      <c r="W51" s="102" t="s">
        <v>15</v>
      </c>
      <c r="X51" s="102" t="s">
        <v>15</v>
      </c>
      <c r="Y51" s="102" t="s">
        <v>15</v>
      </c>
      <c r="Z51" s="102" t="s">
        <v>15</v>
      </c>
      <c r="AA51" s="100" t="s">
        <v>134</v>
      </c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</row>
    <row r="52" spans="1:41" ht="15.75" customHeight="1">
      <c r="A52" s="100">
        <v>50</v>
      </c>
      <c r="B52" s="100" t="s">
        <v>263</v>
      </c>
      <c r="C52" s="101" t="s">
        <v>141</v>
      </c>
      <c r="D52" s="101" t="s">
        <v>141</v>
      </c>
      <c r="E52" s="101" t="s">
        <v>141</v>
      </c>
      <c r="F52" s="100" t="s">
        <v>134</v>
      </c>
      <c r="G52" s="100" t="s">
        <v>141</v>
      </c>
      <c r="H52" s="100" t="s">
        <v>141</v>
      </c>
      <c r="I52" s="100" t="s">
        <v>264</v>
      </c>
      <c r="J52" s="100" t="s">
        <v>895</v>
      </c>
      <c r="K52" s="100" t="s">
        <v>261</v>
      </c>
      <c r="L52" s="100" t="s">
        <v>262</v>
      </c>
      <c r="M52" s="100" t="s">
        <v>137</v>
      </c>
      <c r="N52" s="100"/>
      <c r="O52" s="102" t="s">
        <v>15</v>
      </c>
      <c r="P52" s="102" t="s">
        <v>15</v>
      </c>
      <c r="Q52" s="102" t="s">
        <v>15</v>
      </c>
      <c r="R52" s="102" t="s">
        <v>15</v>
      </c>
      <c r="S52" s="102" t="s">
        <v>15</v>
      </c>
      <c r="T52" s="102" t="s">
        <v>15</v>
      </c>
      <c r="U52" s="103" t="s">
        <v>41</v>
      </c>
      <c r="V52" s="102" t="s">
        <v>15</v>
      </c>
      <c r="W52" s="102" t="s">
        <v>15</v>
      </c>
      <c r="X52" s="102" t="s">
        <v>15</v>
      </c>
      <c r="Y52" s="102" t="s">
        <v>15</v>
      </c>
      <c r="Z52" s="102" t="s">
        <v>15</v>
      </c>
      <c r="AA52" s="100" t="s">
        <v>134</v>
      </c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</row>
    <row r="53" spans="1:41" ht="15.75" customHeight="1">
      <c r="A53" s="100">
        <v>47</v>
      </c>
      <c r="B53" s="100" t="s">
        <v>266</v>
      </c>
      <c r="C53" s="101" t="s">
        <v>141</v>
      </c>
      <c r="D53" s="101" t="s">
        <v>141</v>
      </c>
      <c r="E53" s="101" t="s">
        <v>141</v>
      </c>
      <c r="F53" s="100" t="s">
        <v>141</v>
      </c>
      <c r="G53" s="100" t="s">
        <v>141</v>
      </c>
      <c r="H53" s="100" t="s">
        <v>134</v>
      </c>
      <c r="I53" s="100" t="s">
        <v>267</v>
      </c>
      <c r="J53" s="100" t="s">
        <v>896</v>
      </c>
      <c r="K53" s="100" t="s">
        <v>261</v>
      </c>
      <c r="L53" s="100" t="s">
        <v>262</v>
      </c>
      <c r="M53" s="100" t="s">
        <v>137</v>
      </c>
      <c r="N53" s="100"/>
      <c r="O53" s="102" t="s">
        <v>15</v>
      </c>
      <c r="P53" s="102" t="s">
        <v>15</v>
      </c>
      <c r="Q53" s="102" t="s">
        <v>15</v>
      </c>
      <c r="R53" s="102" t="s">
        <v>15</v>
      </c>
      <c r="S53" s="102" t="s">
        <v>15</v>
      </c>
      <c r="T53" s="102" t="s">
        <v>15</v>
      </c>
      <c r="U53" s="102" t="s">
        <v>15</v>
      </c>
      <c r="V53" s="102" t="s">
        <v>15</v>
      </c>
      <c r="W53" s="103" t="s">
        <v>41</v>
      </c>
      <c r="X53" s="102" t="s">
        <v>15</v>
      </c>
      <c r="Y53" s="102" t="s">
        <v>15</v>
      </c>
      <c r="Z53" s="102" t="s">
        <v>15</v>
      </c>
      <c r="AA53" s="100" t="s">
        <v>134</v>
      </c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</row>
    <row r="54" spans="1:41" ht="15.75" customHeight="1">
      <c r="A54" s="100">
        <v>48</v>
      </c>
      <c r="B54" s="100" t="s">
        <v>269</v>
      </c>
      <c r="C54" s="101" t="s">
        <v>141</v>
      </c>
      <c r="D54" s="101" t="s">
        <v>141</v>
      </c>
      <c r="E54" s="101" t="s">
        <v>141</v>
      </c>
      <c r="F54" s="100" t="s">
        <v>141</v>
      </c>
      <c r="G54" s="100" t="s">
        <v>141</v>
      </c>
      <c r="H54" s="100" t="s">
        <v>134</v>
      </c>
      <c r="I54" s="100" t="s">
        <v>270</v>
      </c>
      <c r="J54" s="100" t="s">
        <v>897</v>
      </c>
      <c r="K54" s="100" t="s">
        <v>261</v>
      </c>
      <c r="L54" s="100" t="s">
        <v>262</v>
      </c>
      <c r="M54" s="100" t="s">
        <v>137</v>
      </c>
      <c r="N54" s="100"/>
      <c r="O54" s="102" t="s">
        <v>15</v>
      </c>
      <c r="P54" s="102" t="s">
        <v>15</v>
      </c>
      <c r="Q54" s="102" t="s">
        <v>15</v>
      </c>
      <c r="R54" s="102" t="s">
        <v>15</v>
      </c>
      <c r="S54" s="102" t="s">
        <v>15</v>
      </c>
      <c r="T54" s="102" t="s">
        <v>15</v>
      </c>
      <c r="U54" s="102" t="s">
        <v>15</v>
      </c>
      <c r="V54" s="102" t="s">
        <v>15</v>
      </c>
      <c r="W54" s="103" t="s">
        <v>41</v>
      </c>
      <c r="X54" s="102" t="s">
        <v>15</v>
      </c>
      <c r="Y54" s="102" t="s">
        <v>15</v>
      </c>
      <c r="Z54" s="102" t="s">
        <v>15</v>
      </c>
      <c r="AA54" s="100" t="s">
        <v>134</v>
      </c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</row>
    <row r="55" spans="1:41" ht="15.75" customHeight="1">
      <c r="A55" s="100">
        <v>49</v>
      </c>
      <c r="B55" s="100" t="s">
        <v>272</v>
      </c>
      <c r="C55" s="101" t="s">
        <v>141</v>
      </c>
      <c r="D55" s="101" t="s">
        <v>141</v>
      </c>
      <c r="E55" s="101" t="s">
        <v>141</v>
      </c>
      <c r="F55" s="100" t="s">
        <v>141</v>
      </c>
      <c r="G55" s="100" t="s">
        <v>141</v>
      </c>
      <c r="H55" s="100" t="s">
        <v>134</v>
      </c>
      <c r="I55" s="100" t="s">
        <v>273</v>
      </c>
      <c r="J55" s="100" t="s">
        <v>898</v>
      </c>
      <c r="K55" s="100" t="s">
        <v>261</v>
      </c>
      <c r="L55" s="100" t="s">
        <v>262</v>
      </c>
      <c r="M55" s="100" t="s">
        <v>137</v>
      </c>
      <c r="N55" s="100"/>
      <c r="O55" s="102" t="s">
        <v>15</v>
      </c>
      <c r="P55" s="102" t="s">
        <v>15</v>
      </c>
      <c r="Q55" s="102" t="s">
        <v>15</v>
      </c>
      <c r="R55" s="102" t="s">
        <v>15</v>
      </c>
      <c r="S55" s="102" t="s">
        <v>15</v>
      </c>
      <c r="T55" s="102" t="s">
        <v>15</v>
      </c>
      <c r="U55" s="102" t="s">
        <v>15</v>
      </c>
      <c r="V55" s="102" t="s">
        <v>15</v>
      </c>
      <c r="W55" s="103" t="s">
        <v>41</v>
      </c>
      <c r="X55" s="102" t="s">
        <v>15</v>
      </c>
      <c r="Y55" s="102" t="s">
        <v>15</v>
      </c>
      <c r="Z55" s="102" t="s">
        <v>15</v>
      </c>
      <c r="AA55" s="100" t="s">
        <v>134</v>
      </c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</row>
    <row r="56" spans="1:41" ht="15.75" customHeight="1">
      <c r="A56" s="100">
        <v>52</v>
      </c>
      <c r="B56" s="100" t="s">
        <v>275</v>
      </c>
      <c r="C56" s="101" t="s">
        <v>141</v>
      </c>
      <c r="D56" s="101" t="s">
        <v>141</v>
      </c>
      <c r="E56" s="101" t="s">
        <v>141</v>
      </c>
      <c r="F56" s="100" t="s">
        <v>141</v>
      </c>
      <c r="G56" s="100" t="s">
        <v>134</v>
      </c>
      <c r="H56" s="100" t="s">
        <v>141</v>
      </c>
      <c r="I56" s="100" t="s">
        <v>276</v>
      </c>
      <c r="J56" s="100" t="s">
        <v>899</v>
      </c>
      <c r="K56" s="100" t="s">
        <v>261</v>
      </c>
      <c r="L56" s="100" t="s">
        <v>262</v>
      </c>
      <c r="M56" s="100" t="s">
        <v>137</v>
      </c>
      <c r="N56" s="100"/>
      <c r="O56" s="102" t="s">
        <v>15</v>
      </c>
      <c r="P56" s="102" t="s">
        <v>15</v>
      </c>
      <c r="Q56" s="102" t="s">
        <v>15</v>
      </c>
      <c r="R56" s="102" t="s">
        <v>15</v>
      </c>
      <c r="S56" s="102" t="s">
        <v>15</v>
      </c>
      <c r="T56" s="102" t="s">
        <v>15</v>
      </c>
      <c r="U56" s="102" t="s">
        <v>15</v>
      </c>
      <c r="V56" s="103" t="s">
        <v>41</v>
      </c>
      <c r="W56" s="102" t="s">
        <v>15</v>
      </c>
      <c r="X56" s="102" t="s">
        <v>15</v>
      </c>
      <c r="Y56" s="102" t="s">
        <v>15</v>
      </c>
      <c r="Z56" s="102" t="s">
        <v>15</v>
      </c>
      <c r="AA56" s="100" t="s">
        <v>134</v>
      </c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</row>
    <row r="57" spans="1:41" ht="15.75" customHeight="1">
      <c r="A57" s="100">
        <v>55</v>
      </c>
      <c r="B57" s="100" t="s">
        <v>278</v>
      </c>
      <c r="C57" s="101" t="s">
        <v>141</v>
      </c>
      <c r="D57" s="101" t="s">
        <v>134</v>
      </c>
      <c r="E57" s="101" t="s">
        <v>141</v>
      </c>
      <c r="F57" s="100" t="s">
        <v>141</v>
      </c>
      <c r="G57" s="100" t="s">
        <v>141</v>
      </c>
      <c r="H57" s="100" t="s">
        <v>141</v>
      </c>
      <c r="I57" s="100" t="s">
        <v>279</v>
      </c>
      <c r="J57" s="100" t="s">
        <v>900</v>
      </c>
      <c r="K57" s="100" t="s">
        <v>261</v>
      </c>
      <c r="L57" s="100" t="s">
        <v>262</v>
      </c>
      <c r="M57" s="100" t="s">
        <v>137</v>
      </c>
      <c r="N57" s="100"/>
      <c r="O57" s="102" t="s">
        <v>15</v>
      </c>
      <c r="P57" s="102" t="s">
        <v>15</v>
      </c>
      <c r="Q57" s="102" t="s">
        <v>15</v>
      </c>
      <c r="R57" s="102" t="s">
        <v>15</v>
      </c>
      <c r="S57" s="102" t="s">
        <v>15</v>
      </c>
      <c r="T57" s="102" t="s">
        <v>15</v>
      </c>
      <c r="U57" s="102" t="s">
        <v>15</v>
      </c>
      <c r="V57" s="102" t="s">
        <v>15</v>
      </c>
      <c r="W57" s="102" t="s">
        <v>15</v>
      </c>
      <c r="X57" s="102" t="s">
        <v>15</v>
      </c>
      <c r="Y57" s="103" t="s">
        <v>41</v>
      </c>
      <c r="Z57" s="102" t="s">
        <v>15</v>
      </c>
      <c r="AA57" s="100" t="s">
        <v>134</v>
      </c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</row>
    <row r="58" spans="1:41" ht="15.75" customHeight="1">
      <c r="A58" s="100">
        <v>54</v>
      </c>
      <c r="B58" s="100" t="s">
        <v>281</v>
      </c>
      <c r="C58" s="101" t="s">
        <v>134</v>
      </c>
      <c r="D58" s="101" t="s">
        <v>141</v>
      </c>
      <c r="E58" s="101" t="s">
        <v>141</v>
      </c>
      <c r="F58" s="100" t="s">
        <v>141</v>
      </c>
      <c r="G58" s="100" t="s">
        <v>141</v>
      </c>
      <c r="H58" s="100" t="s">
        <v>141</v>
      </c>
      <c r="I58" s="100" t="s">
        <v>282</v>
      </c>
      <c r="J58" s="100" t="s">
        <v>901</v>
      </c>
      <c r="K58" s="100" t="s">
        <v>261</v>
      </c>
      <c r="L58" s="100" t="s">
        <v>262</v>
      </c>
      <c r="M58" s="100" t="s">
        <v>137</v>
      </c>
      <c r="N58" s="100"/>
      <c r="O58" s="102" t="s">
        <v>15</v>
      </c>
      <c r="P58" s="102" t="s">
        <v>15</v>
      </c>
      <c r="Q58" s="102" t="s">
        <v>15</v>
      </c>
      <c r="R58" s="102" t="s">
        <v>15</v>
      </c>
      <c r="S58" s="102" t="s">
        <v>15</v>
      </c>
      <c r="T58" s="102" t="s">
        <v>15</v>
      </c>
      <c r="U58" s="102" t="s">
        <v>15</v>
      </c>
      <c r="V58" s="102" t="s">
        <v>15</v>
      </c>
      <c r="W58" s="102" t="s">
        <v>15</v>
      </c>
      <c r="X58" s="102" t="s">
        <v>15</v>
      </c>
      <c r="Y58" s="102" t="s">
        <v>15</v>
      </c>
      <c r="Z58" s="103" t="s">
        <v>41</v>
      </c>
      <c r="AA58" s="100" t="s">
        <v>134</v>
      </c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</row>
    <row r="59" spans="1:41" ht="15.75" customHeight="1">
      <c r="A59" s="100">
        <v>53</v>
      </c>
      <c r="B59" s="100" t="s">
        <v>284</v>
      </c>
      <c r="C59" s="101" t="s">
        <v>141</v>
      </c>
      <c r="D59" s="101" t="s">
        <v>141</v>
      </c>
      <c r="E59" s="101" t="s">
        <v>134</v>
      </c>
      <c r="F59" s="100" t="s">
        <v>141</v>
      </c>
      <c r="G59" s="100" t="s">
        <v>141</v>
      </c>
      <c r="H59" s="100" t="s">
        <v>141</v>
      </c>
      <c r="I59" s="100" t="s">
        <v>285</v>
      </c>
      <c r="J59" s="100" t="s">
        <v>902</v>
      </c>
      <c r="K59" s="100" t="s">
        <v>261</v>
      </c>
      <c r="L59" s="100" t="s">
        <v>262</v>
      </c>
      <c r="M59" s="100" t="s">
        <v>137</v>
      </c>
      <c r="N59" s="100"/>
      <c r="O59" s="102" t="s">
        <v>15</v>
      </c>
      <c r="P59" s="102" t="s">
        <v>15</v>
      </c>
      <c r="Q59" s="102" t="s">
        <v>15</v>
      </c>
      <c r="R59" s="102" t="s">
        <v>15</v>
      </c>
      <c r="S59" s="102" t="s">
        <v>15</v>
      </c>
      <c r="T59" s="102" t="s">
        <v>15</v>
      </c>
      <c r="U59" s="102" t="s">
        <v>15</v>
      </c>
      <c r="V59" s="102" t="s">
        <v>15</v>
      </c>
      <c r="W59" s="102" t="s">
        <v>15</v>
      </c>
      <c r="X59" s="103" t="s">
        <v>41</v>
      </c>
      <c r="Y59" s="102" t="s">
        <v>15</v>
      </c>
      <c r="Z59" s="102" t="s">
        <v>15</v>
      </c>
      <c r="AA59" s="100" t="s">
        <v>134</v>
      </c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</row>
    <row r="60" spans="1:41" ht="15.75" customHeight="1">
      <c r="A60" s="100">
        <v>59</v>
      </c>
      <c r="B60" s="100" t="s">
        <v>287</v>
      </c>
      <c r="C60" s="101" t="s">
        <v>141</v>
      </c>
      <c r="D60" s="101" t="s">
        <v>141</v>
      </c>
      <c r="E60" s="101" t="s">
        <v>134</v>
      </c>
      <c r="F60" s="100" t="s">
        <v>141</v>
      </c>
      <c r="G60" s="100" t="s">
        <v>141</v>
      </c>
      <c r="H60" s="100" t="s">
        <v>141</v>
      </c>
      <c r="I60" s="100" t="s">
        <v>288</v>
      </c>
      <c r="J60" s="100" t="s">
        <v>903</v>
      </c>
      <c r="K60" s="100" t="s">
        <v>144</v>
      </c>
      <c r="L60" s="100" t="s">
        <v>145</v>
      </c>
      <c r="M60" s="100" t="s">
        <v>137</v>
      </c>
      <c r="N60" s="100"/>
      <c r="O60" s="102" t="s">
        <v>15</v>
      </c>
      <c r="P60" s="102" t="s">
        <v>15</v>
      </c>
      <c r="Q60" s="102" t="s">
        <v>15</v>
      </c>
      <c r="R60" s="102" t="s">
        <v>15</v>
      </c>
      <c r="S60" s="102" t="s">
        <v>15</v>
      </c>
      <c r="T60" s="102" t="s">
        <v>15</v>
      </c>
      <c r="U60" s="102" t="s">
        <v>15</v>
      </c>
      <c r="V60" s="102" t="s">
        <v>15</v>
      </c>
      <c r="W60" s="102" t="s">
        <v>15</v>
      </c>
      <c r="X60" s="103" t="s">
        <v>41</v>
      </c>
      <c r="Y60" s="102" t="s">
        <v>15</v>
      </c>
      <c r="Z60" s="102" t="s">
        <v>15</v>
      </c>
      <c r="AA60" s="100" t="s">
        <v>134</v>
      </c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</row>
    <row r="61" spans="1:41" ht="15.75" customHeight="1">
      <c r="A61" s="100">
        <v>60</v>
      </c>
      <c r="B61" s="101" t="s">
        <v>289</v>
      </c>
      <c r="C61" s="101" t="s">
        <v>134</v>
      </c>
      <c r="D61" s="101" t="s">
        <v>141</v>
      </c>
      <c r="E61" s="101" t="s">
        <v>141</v>
      </c>
      <c r="F61" s="100" t="s">
        <v>141</v>
      </c>
      <c r="G61" s="100" t="s">
        <v>141</v>
      </c>
      <c r="H61" s="100" t="s">
        <v>141</v>
      </c>
      <c r="I61" s="100" t="s">
        <v>290</v>
      </c>
      <c r="J61" s="100" t="s">
        <v>904</v>
      </c>
      <c r="K61" s="100" t="s">
        <v>144</v>
      </c>
      <c r="L61" s="100" t="s">
        <v>291</v>
      </c>
      <c r="M61" s="100" t="s">
        <v>137</v>
      </c>
      <c r="N61" s="100"/>
      <c r="O61" s="102" t="s">
        <v>15</v>
      </c>
      <c r="P61" s="102" t="s">
        <v>15</v>
      </c>
      <c r="Q61" s="102" t="s">
        <v>15</v>
      </c>
      <c r="R61" s="102" t="s">
        <v>15</v>
      </c>
      <c r="S61" s="102" t="s">
        <v>15</v>
      </c>
      <c r="T61" s="102" t="s">
        <v>15</v>
      </c>
      <c r="U61" s="102" t="s">
        <v>15</v>
      </c>
      <c r="V61" s="102" t="s">
        <v>15</v>
      </c>
      <c r="W61" s="102" t="s">
        <v>15</v>
      </c>
      <c r="X61" s="102" t="s">
        <v>15</v>
      </c>
      <c r="Y61" s="102" t="s">
        <v>15</v>
      </c>
      <c r="Z61" s="103" t="s">
        <v>41</v>
      </c>
      <c r="AA61" s="100" t="s">
        <v>134</v>
      </c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</row>
    <row r="62" spans="1:41" ht="15.75" customHeight="1">
      <c r="A62" s="100">
        <v>61</v>
      </c>
      <c r="B62" s="100" t="s">
        <v>292</v>
      </c>
      <c r="C62" s="101" t="s">
        <v>141</v>
      </c>
      <c r="D62" s="101" t="s">
        <v>141</v>
      </c>
      <c r="E62" s="101" t="s">
        <v>141</v>
      </c>
      <c r="F62" s="100" t="s">
        <v>141</v>
      </c>
      <c r="G62" s="100" t="s">
        <v>134</v>
      </c>
      <c r="H62" s="100" t="s">
        <v>141</v>
      </c>
      <c r="I62" s="100" t="s">
        <v>293</v>
      </c>
      <c r="J62" s="100" t="s">
        <v>872</v>
      </c>
      <c r="K62" s="100" t="s">
        <v>191</v>
      </c>
      <c r="L62" s="101" t="s">
        <v>294</v>
      </c>
      <c r="M62" s="100" t="s">
        <v>137</v>
      </c>
      <c r="N62" s="100"/>
      <c r="O62" s="102" t="s">
        <v>15</v>
      </c>
      <c r="P62" s="102" t="s">
        <v>15</v>
      </c>
      <c r="Q62" s="102" t="s">
        <v>15</v>
      </c>
      <c r="R62" s="102" t="s">
        <v>15</v>
      </c>
      <c r="S62" s="102" t="s">
        <v>15</v>
      </c>
      <c r="T62" s="102" t="s">
        <v>15</v>
      </c>
      <c r="U62" s="102" t="s">
        <v>15</v>
      </c>
      <c r="V62" s="103" t="s">
        <v>41</v>
      </c>
      <c r="W62" s="102" t="s">
        <v>15</v>
      </c>
      <c r="X62" s="102" t="s">
        <v>15</v>
      </c>
      <c r="Y62" s="102" t="s">
        <v>15</v>
      </c>
      <c r="Z62" s="102" t="s">
        <v>15</v>
      </c>
      <c r="AA62" s="100" t="s">
        <v>134</v>
      </c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</row>
    <row r="63" spans="1:41" ht="15.75" customHeight="1">
      <c r="A63" s="100">
        <v>62</v>
      </c>
      <c r="B63" s="100" t="s">
        <v>295</v>
      </c>
      <c r="C63" s="101" t="s">
        <v>141</v>
      </c>
      <c r="D63" s="101" t="s">
        <v>141</v>
      </c>
      <c r="E63" s="101" t="s">
        <v>141</v>
      </c>
      <c r="F63" s="100" t="s">
        <v>134</v>
      </c>
      <c r="G63" s="100" t="s">
        <v>141</v>
      </c>
      <c r="H63" s="100" t="s">
        <v>141</v>
      </c>
      <c r="I63" s="100" t="s">
        <v>296</v>
      </c>
      <c r="J63" s="100" t="s">
        <v>872</v>
      </c>
      <c r="K63" s="100" t="s">
        <v>191</v>
      </c>
      <c r="L63" s="101" t="s">
        <v>294</v>
      </c>
      <c r="M63" s="100" t="s">
        <v>137</v>
      </c>
      <c r="N63" s="100"/>
      <c r="O63" s="102" t="s">
        <v>15</v>
      </c>
      <c r="P63" s="102" t="s">
        <v>15</v>
      </c>
      <c r="Q63" s="102" t="s">
        <v>15</v>
      </c>
      <c r="R63" s="102" t="s">
        <v>15</v>
      </c>
      <c r="S63" s="102" t="s">
        <v>15</v>
      </c>
      <c r="T63" s="102" t="s">
        <v>15</v>
      </c>
      <c r="U63" s="103" t="s">
        <v>41</v>
      </c>
      <c r="V63" s="102" t="s">
        <v>15</v>
      </c>
      <c r="W63" s="102" t="s">
        <v>15</v>
      </c>
      <c r="X63" s="102" t="s">
        <v>15</v>
      </c>
      <c r="Y63" s="102" t="s">
        <v>15</v>
      </c>
      <c r="Z63" s="102" t="s">
        <v>15</v>
      </c>
      <c r="AA63" s="100" t="s">
        <v>134</v>
      </c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</row>
    <row r="64" spans="1:41" ht="15.75" customHeight="1">
      <c r="A64" s="100">
        <v>63</v>
      </c>
      <c r="B64" s="100" t="s">
        <v>297</v>
      </c>
      <c r="C64" s="101" t="s">
        <v>141</v>
      </c>
      <c r="D64" s="101" t="s">
        <v>141</v>
      </c>
      <c r="E64" s="101" t="s">
        <v>141</v>
      </c>
      <c r="F64" s="100" t="s">
        <v>141</v>
      </c>
      <c r="G64" s="100" t="s">
        <v>141</v>
      </c>
      <c r="H64" s="100" t="s">
        <v>134</v>
      </c>
      <c r="I64" s="100" t="s">
        <v>298</v>
      </c>
      <c r="J64" s="100" t="s">
        <v>905</v>
      </c>
      <c r="K64" s="100" t="s">
        <v>300</v>
      </c>
      <c r="L64" s="101" t="s">
        <v>301</v>
      </c>
      <c r="M64" s="100" t="s">
        <v>137</v>
      </c>
      <c r="N64" s="100"/>
      <c r="O64" s="102" t="s">
        <v>15</v>
      </c>
      <c r="P64" s="102" t="s">
        <v>15</v>
      </c>
      <c r="Q64" s="102" t="s">
        <v>15</v>
      </c>
      <c r="R64" s="102" t="s">
        <v>15</v>
      </c>
      <c r="S64" s="102" t="s">
        <v>15</v>
      </c>
      <c r="T64" s="102" t="s">
        <v>15</v>
      </c>
      <c r="U64" s="102" t="s">
        <v>15</v>
      </c>
      <c r="V64" s="102" t="s">
        <v>15</v>
      </c>
      <c r="W64" s="103" t="s">
        <v>41</v>
      </c>
      <c r="X64" s="102" t="s">
        <v>15</v>
      </c>
      <c r="Y64" s="102" t="s">
        <v>15</v>
      </c>
      <c r="Z64" s="102" t="s">
        <v>15</v>
      </c>
      <c r="AA64" s="100" t="s">
        <v>134</v>
      </c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</row>
    <row r="65" spans="1:41" ht="15.75" customHeight="1">
      <c r="A65" s="100">
        <v>64</v>
      </c>
      <c r="B65" s="100" t="s">
        <v>302</v>
      </c>
      <c r="C65" s="101" t="s">
        <v>141</v>
      </c>
      <c r="D65" s="101" t="s">
        <v>141</v>
      </c>
      <c r="E65" s="101" t="s">
        <v>141</v>
      </c>
      <c r="F65" s="100" t="s">
        <v>141</v>
      </c>
      <c r="G65" s="100" t="s">
        <v>141</v>
      </c>
      <c r="H65" s="100" t="s">
        <v>134</v>
      </c>
      <c r="I65" s="100" t="s">
        <v>303</v>
      </c>
      <c r="J65" s="100" t="s">
        <v>906</v>
      </c>
      <c r="K65" s="100" t="s">
        <v>300</v>
      </c>
      <c r="L65" s="101" t="s">
        <v>301</v>
      </c>
      <c r="M65" s="100" t="s">
        <v>137</v>
      </c>
      <c r="N65" s="100"/>
      <c r="O65" s="102" t="s">
        <v>15</v>
      </c>
      <c r="P65" s="102" t="s">
        <v>15</v>
      </c>
      <c r="Q65" s="102" t="s">
        <v>15</v>
      </c>
      <c r="R65" s="102" t="s">
        <v>15</v>
      </c>
      <c r="S65" s="102" t="s">
        <v>15</v>
      </c>
      <c r="T65" s="102" t="s">
        <v>15</v>
      </c>
      <c r="U65" s="102" t="s">
        <v>15</v>
      </c>
      <c r="V65" s="102" t="s">
        <v>15</v>
      </c>
      <c r="W65" s="103" t="s">
        <v>41</v>
      </c>
      <c r="X65" s="102" t="s">
        <v>15</v>
      </c>
      <c r="Y65" s="102" t="s">
        <v>15</v>
      </c>
      <c r="Z65" s="102" t="s">
        <v>15</v>
      </c>
      <c r="AA65" s="100" t="s">
        <v>134</v>
      </c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</row>
    <row r="66" spans="1:41" ht="15.75" customHeight="1">
      <c r="A66" s="100">
        <v>65</v>
      </c>
      <c r="B66" s="100" t="s">
        <v>305</v>
      </c>
      <c r="C66" s="101" t="s">
        <v>141</v>
      </c>
      <c r="D66" s="101" t="s">
        <v>141</v>
      </c>
      <c r="E66" s="101" t="s">
        <v>141</v>
      </c>
      <c r="F66" s="100" t="s">
        <v>134</v>
      </c>
      <c r="G66" s="100" t="s">
        <v>141</v>
      </c>
      <c r="H66" s="100" t="s">
        <v>141</v>
      </c>
      <c r="I66" s="100" t="s">
        <v>306</v>
      </c>
      <c r="J66" s="100" t="s">
        <v>907</v>
      </c>
      <c r="K66" s="100" t="s">
        <v>300</v>
      </c>
      <c r="L66" s="101" t="s">
        <v>301</v>
      </c>
      <c r="M66" s="100" t="s">
        <v>137</v>
      </c>
      <c r="N66" s="100"/>
      <c r="O66" s="102" t="s">
        <v>15</v>
      </c>
      <c r="P66" s="102" t="s">
        <v>15</v>
      </c>
      <c r="Q66" s="102" t="s">
        <v>15</v>
      </c>
      <c r="R66" s="102" t="s">
        <v>15</v>
      </c>
      <c r="S66" s="102" t="s">
        <v>15</v>
      </c>
      <c r="T66" s="102" t="s">
        <v>15</v>
      </c>
      <c r="U66" s="103" t="s">
        <v>41</v>
      </c>
      <c r="V66" s="102" t="s">
        <v>15</v>
      </c>
      <c r="W66" s="102" t="s">
        <v>15</v>
      </c>
      <c r="X66" s="102" t="s">
        <v>15</v>
      </c>
      <c r="Y66" s="102" t="s">
        <v>15</v>
      </c>
      <c r="Z66" s="102" t="s">
        <v>15</v>
      </c>
      <c r="AA66" s="100" t="s">
        <v>134</v>
      </c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</row>
    <row r="67" spans="1:41" ht="15.75" customHeight="1">
      <c r="A67" s="100">
        <v>66</v>
      </c>
      <c r="B67" s="100" t="s">
        <v>308</v>
      </c>
      <c r="C67" s="101" t="s">
        <v>141</v>
      </c>
      <c r="D67" s="101" t="s">
        <v>141</v>
      </c>
      <c r="E67" s="101" t="s">
        <v>141</v>
      </c>
      <c r="F67" s="100" t="s">
        <v>141</v>
      </c>
      <c r="G67" s="100" t="s">
        <v>134</v>
      </c>
      <c r="H67" s="100" t="s">
        <v>141</v>
      </c>
      <c r="I67" s="100" t="s">
        <v>309</v>
      </c>
      <c r="J67" s="100" t="s">
        <v>908</v>
      </c>
      <c r="K67" s="100" t="s">
        <v>300</v>
      </c>
      <c r="L67" s="101" t="s">
        <v>301</v>
      </c>
      <c r="M67" s="100" t="s">
        <v>137</v>
      </c>
      <c r="N67" s="100"/>
      <c r="O67" s="102" t="s">
        <v>15</v>
      </c>
      <c r="P67" s="102" t="s">
        <v>15</v>
      </c>
      <c r="Q67" s="102" t="s">
        <v>15</v>
      </c>
      <c r="R67" s="102" t="s">
        <v>15</v>
      </c>
      <c r="S67" s="102" t="s">
        <v>15</v>
      </c>
      <c r="T67" s="102" t="s">
        <v>15</v>
      </c>
      <c r="U67" s="102" t="s">
        <v>15</v>
      </c>
      <c r="V67" s="103" t="s">
        <v>41</v>
      </c>
      <c r="W67" s="102" t="s">
        <v>15</v>
      </c>
      <c r="X67" s="102" t="s">
        <v>15</v>
      </c>
      <c r="Y67" s="102" t="s">
        <v>15</v>
      </c>
      <c r="Z67" s="102" t="s">
        <v>15</v>
      </c>
      <c r="AA67" s="100" t="s">
        <v>134</v>
      </c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</row>
    <row r="68" spans="1:41" ht="15.75" customHeight="1">
      <c r="A68" s="100">
        <v>67</v>
      </c>
      <c r="B68" s="100" t="s">
        <v>311</v>
      </c>
      <c r="C68" s="101" t="s">
        <v>141</v>
      </c>
      <c r="D68" s="101" t="s">
        <v>134</v>
      </c>
      <c r="E68" s="101" t="s">
        <v>141</v>
      </c>
      <c r="F68" s="100" t="s">
        <v>141</v>
      </c>
      <c r="G68" s="100" t="s">
        <v>141</v>
      </c>
      <c r="H68" s="100" t="s">
        <v>141</v>
      </c>
      <c r="I68" s="100" t="s">
        <v>312</v>
      </c>
      <c r="J68" s="100" t="s">
        <v>909</v>
      </c>
      <c r="K68" s="100" t="s">
        <v>300</v>
      </c>
      <c r="L68" s="101" t="s">
        <v>301</v>
      </c>
      <c r="M68" s="100" t="s">
        <v>137</v>
      </c>
      <c r="N68" s="100"/>
      <c r="O68" s="102" t="s">
        <v>15</v>
      </c>
      <c r="P68" s="102" t="s">
        <v>15</v>
      </c>
      <c r="Q68" s="102" t="s">
        <v>15</v>
      </c>
      <c r="R68" s="102" t="s">
        <v>15</v>
      </c>
      <c r="S68" s="102" t="s">
        <v>15</v>
      </c>
      <c r="T68" s="102" t="s">
        <v>15</v>
      </c>
      <c r="U68" s="102" t="s">
        <v>15</v>
      </c>
      <c r="V68" s="102" t="s">
        <v>15</v>
      </c>
      <c r="W68" s="102" t="s">
        <v>15</v>
      </c>
      <c r="X68" s="102" t="s">
        <v>15</v>
      </c>
      <c r="Y68" s="103" t="s">
        <v>41</v>
      </c>
      <c r="Z68" s="102" t="s">
        <v>15</v>
      </c>
      <c r="AA68" s="100" t="s">
        <v>134</v>
      </c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</row>
    <row r="69" spans="1:41" ht="15.75" customHeight="1">
      <c r="A69" s="100">
        <v>68</v>
      </c>
      <c r="B69" s="100" t="s">
        <v>314</v>
      </c>
      <c r="C69" s="101" t="s">
        <v>134</v>
      </c>
      <c r="D69" s="101" t="s">
        <v>141</v>
      </c>
      <c r="E69" s="101" t="s">
        <v>141</v>
      </c>
      <c r="F69" s="100" t="s">
        <v>141</v>
      </c>
      <c r="G69" s="100" t="s">
        <v>141</v>
      </c>
      <c r="H69" s="100" t="s">
        <v>141</v>
      </c>
      <c r="I69" s="100" t="s">
        <v>315</v>
      </c>
      <c r="J69" s="100" t="s">
        <v>910</v>
      </c>
      <c r="K69" s="100" t="s">
        <v>300</v>
      </c>
      <c r="L69" s="101" t="s">
        <v>301</v>
      </c>
      <c r="M69" s="100" t="s">
        <v>137</v>
      </c>
      <c r="N69" s="100"/>
      <c r="O69" s="102" t="s">
        <v>15</v>
      </c>
      <c r="P69" s="102" t="s">
        <v>15</v>
      </c>
      <c r="Q69" s="102" t="s">
        <v>15</v>
      </c>
      <c r="R69" s="102" t="s">
        <v>15</v>
      </c>
      <c r="S69" s="102" t="s">
        <v>15</v>
      </c>
      <c r="T69" s="102" t="s">
        <v>15</v>
      </c>
      <c r="U69" s="102" t="s">
        <v>15</v>
      </c>
      <c r="V69" s="102" t="s">
        <v>15</v>
      </c>
      <c r="W69" s="102" t="s">
        <v>15</v>
      </c>
      <c r="X69" s="102" t="s">
        <v>15</v>
      </c>
      <c r="Y69" s="102" t="s">
        <v>15</v>
      </c>
      <c r="Z69" s="103" t="s">
        <v>41</v>
      </c>
      <c r="AA69" s="100" t="s">
        <v>134</v>
      </c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</row>
    <row r="70" spans="1:41" ht="15.75" customHeight="1">
      <c r="A70" s="100">
        <v>69</v>
      </c>
      <c r="B70" s="100" t="s">
        <v>317</v>
      </c>
      <c r="C70" s="101" t="s">
        <v>134</v>
      </c>
      <c r="D70" s="101" t="s">
        <v>141</v>
      </c>
      <c r="E70" s="101" t="s">
        <v>141</v>
      </c>
      <c r="F70" s="100" t="s">
        <v>141</v>
      </c>
      <c r="G70" s="100" t="s">
        <v>141</v>
      </c>
      <c r="H70" s="100" t="s">
        <v>141</v>
      </c>
      <c r="I70" s="100" t="s">
        <v>318</v>
      </c>
      <c r="J70" s="100" t="s">
        <v>911</v>
      </c>
      <c r="K70" s="100" t="s">
        <v>300</v>
      </c>
      <c r="L70" s="101" t="s">
        <v>301</v>
      </c>
      <c r="M70" s="100" t="s">
        <v>137</v>
      </c>
      <c r="N70" s="100"/>
      <c r="O70" s="102" t="s">
        <v>15</v>
      </c>
      <c r="P70" s="102" t="s">
        <v>15</v>
      </c>
      <c r="Q70" s="102" t="s">
        <v>15</v>
      </c>
      <c r="R70" s="102" t="s">
        <v>15</v>
      </c>
      <c r="S70" s="102" t="s">
        <v>15</v>
      </c>
      <c r="T70" s="102" t="s">
        <v>15</v>
      </c>
      <c r="U70" s="102" t="s">
        <v>15</v>
      </c>
      <c r="V70" s="102" t="s">
        <v>15</v>
      </c>
      <c r="W70" s="102" t="s">
        <v>15</v>
      </c>
      <c r="X70" s="102" t="s">
        <v>15</v>
      </c>
      <c r="Y70" s="102" t="s">
        <v>15</v>
      </c>
      <c r="Z70" s="103" t="s">
        <v>41</v>
      </c>
      <c r="AA70" s="100" t="s">
        <v>134</v>
      </c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</row>
    <row r="71" spans="1:41" ht="15.75" customHeight="1">
      <c r="A71" s="100">
        <v>70</v>
      </c>
      <c r="B71" s="100" t="s">
        <v>320</v>
      </c>
      <c r="C71" s="101" t="s">
        <v>141</v>
      </c>
      <c r="D71" s="101" t="s">
        <v>141</v>
      </c>
      <c r="E71" s="101" t="s">
        <v>134</v>
      </c>
      <c r="F71" s="100" t="s">
        <v>141</v>
      </c>
      <c r="G71" s="100" t="s">
        <v>141</v>
      </c>
      <c r="H71" s="100" t="s">
        <v>141</v>
      </c>
      <c r="I71" s="100" t="s">
        <v>321</v>
      </c>
      <c r="J71" s="100" t="s">
        <v>912</v>
      </c>
      <c r="K71" s="100" t="s">
        <v>300</v>
      </c>
      <c r="L71" s="101" t="s">
        <v>301</v>
      </c>
      <c r="M71" s="100" t="s">
        <v>137</v>
      </c>
      <c r="N71" s="100"/>
      <c r="O71" s="102" t="s">
        <v>15</v>
      </c>
      <c r="P71" s="102" t="s">
        <v>15</v>
      </c>
      <c r="Q71" s="102" t="s">
        <v>15</v>
      </c>
      <c r="R71" s="102" t="s">
        <v>15</v>
      </c>
      <c r="S71" s="102" t="s">
        <v>15</v>
      </c>
      <c r="T71" s="102" t="s">
        <v>15</v>
      </c>
      <c r="U71" s="102" t="s">
        <v>15</v>
      </c>
      <c r="V71" s="102" t="s">
        <v>15</v>
      </c>
      <c r="W71" s="102" t="s">
        <v>15</v>
      </c>
      <c r="X71" s="103" t="s">
        <v>41</v>
      </c>
      <c r="Y71" s="102" t="s">
        <v>15</v>
      </c>
      <c r="Z71" s="102" t="s">
        <v>15</v>
      </c>
      <c r="AA71" s="100" t="s">
        <v>134</v>
      </c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</row>
    <row r="72" spans="1:41" ht="15.75" customHeight="1">
      <c r="A72" s="100">
        <v>71</v>
      </c>
      <c r="B72" s="100" t="s">
        <v>323</v>
      </c>
      <c r="C72" s="101" t="s">
        <v>141</v>
      </c>
      <c r="D72" s="101" t="s">
        <v>141</v>
      </c>
      <c r="E72" s="101" t="s">
        <v>141</v>
      </c>
      <c r="F72" s="100" t="s">
        <v>141</v>
      </c>
      <c r="G72" s="100" t="s">
        <v>141</v>
      </c>
      <c r="H72" s="100" t="s">
        <v>141</v>
      </c>
      <c r="I72" s="100" t="s">
        <v>324</v>
      </c>
      <c r="J72" s="100" t="s">
        <v>913</v>
      </c>
      <c r="K72" s="100" t="s">
        <v>144</v>
      </c>
      <c r="L72" s="101" t="s">
        <v>325</v>
      </c>
      <c r="M72" s="100" t="s">
        <v>137</v>
      </c>
      <c r="N72" s="100"/>
      <c r="O72" s="102" t="s">
        <v>15</v>
      </c>
      <c r="P72" s="102" t="s">
        <v>15</v>
      </c>
      <c r="Q72" s="102" t="s">
        <v>15</v>
      </c>
      <c r="R72" s="102" t="s">
        <v>15</v>
      </c>
      <c r="S72" s="102" t="s">
        <v>15</v>
      </c>
      <c r="T72" s="102" t="s">
        <v>15</v>
      </c>
      <c r="U72" s="102" t="s">
        <v>15</v>
      </c>
      <c r="V72" s="102" t="s">
        <v>15</v>
      </c>
      <c r="W72" s="102" t="s">
        <v>15</v>
      </c>
      <c r="X72" s="102" t="s">
        <v>15</v>
      </c>
      <c r="Y72" s="102" t="s">
        <v>15</v>
      </c>
      <c r="Z72" s="102" t="s">
        <v>15</v>
      </c>
      <c r="AA72" s="100" t="s">
        <v>141</v>
      </c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</row>
    <row r="73" spans="1:41" ht="15.75" customHeight="1">
      <c r="A73" s="100">
        <v>72</v>
      </c>
      <c r="B73" s="100" t="s">
        <v>326</v>
      </c>
      <c r="C73" s="101" t="s">
        <v>141</v>
      </c>
      <c r="D73" s="101" t="s">
        <v>141</v>
      </c>
      <c r="E73" s="101" t="s">
        <v>141</v>
      </c>
      <c r="F73" s="100" t="s">
        <v>141</v>
      </c>
      <c r="G73" s="100" t="s">
        <v>141</v>
      </c>
      <c r="H73" s="100" t="s">
        <v>141</v>
      </c>
      <c r="I73" s="100" t="s">
        <v>327</v>
      </c>
      <c r="J73" s="100" t="s">
        <v>914</v>
      </c>
      <c r="K73" s="100" t="s">
        <v>144</v>
      </c>
      <c r="L73" s="101" t="s">
        <v>325</v>
      </c>
      <c r="M73" s="100" t="s">
        <v>137</v>
      </c>
      <c r="N73" s="100"/>
      <c r="O73" s="102" t="s">
        <v>15</v>
      </c>
      <c r="P73" s="102" t="s">
        <v>15</v>
      </c>
      <c r="Q73" s="102" t="s">
        <v>15</v>
      </c>
      <c r="R73" s="102" t="s">
        <v>15</v>
      </c>
      <c r="S73" s="102" t="s">
        <v>15</v>
      </c>
      <c r="T73" s="102" t="s">
        <v>15</v>
      </c>
      <c r="U73" s="102" t="s">
        <v>15</v>
      </c>
      <c r="V73" s="102" t="s">
        <v>15</v>
      </c>
      <c r="W73" s="102" t="s">
        <v>15</v>
      </c>
      <c r="X73" s="102" t="s">
        <v>15</v>
      </c>
      <c r="Y73" s="102" t="s">
        <v>15</v>
      </c>
      <c r="Z73" s="102" t="s">
        <v>15</v>
      </c>
      <c r="AA73" s="100" t="s">
        <v>141</v>
      </c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</row>
    <row r="74" spans="1:41" ht="15.75" customHeight="1">
      <c r="A74" s="100">
        <v>73</v>
      </c>
      <c r="B74" s="100" t="s">
        <v>328</v>
      </c>
      <c r="C74" s="101" t="s">
        <v>141</v>
      </c>
      <c r="D74" s="101" t="s">
        <v>141</v>
      </c>
      <c r="E74" s="101" t="s">
        <v>141</v>
      </c>
      <c r="F74" s="100" t="s">
        <v>141</v>
      </c>
      <c r="G74" s="100" t="s">
        <v>141</v>
      </c>
      <c r="H74" s="100" t="s">
        <v>141</v>
      </c>
      <c r="I74" s="100" t="s">
        <v>329</v>
      </c>
      <c r="J74" s="100" t="s">
        <v>915</v>
      </c>
      <c r="K74" s="100" t="s">
        <v>144</v>
      </c>
      <c r="L74" s="101" t="s">
        <v>325</v>
      </c>
      <c r="M74" s="100" t="s">
        <v>137</v>
      </c>
      <c r="N74" s="100"/>
      <c r="O74" s="102" t="s">
        <v>15</v>
      </c>
      <c r="P74" s="102" t="s">
        <v>15</v>
      </c>
      <c r="Q74" s="102" t="s">
        <v>15</v>
      </c>
      <c r="R74" s="102" t="s">
        <v>15</v>
      </c>
      <c r="S74" s="102" t="s">
        <v>15</v>
      </c>
      <c r="T74" s="102" t="s">
        <v>15</v>
      </c>
      <c r="U74" s="102" t="s">
        <v>15</v>
      </c>
      <c r="V74" s="102" t="s">
        <v>15</v>
      </c>
      <c r="W74" s="102" t="s">
        <v>15</v>
      </c>
      <c r="X74" s="102" t="s">
        <v>15</v>
      </c>
      <c r="Y74" s="102" t="s">
        <v>15</v>
      </c>
      <c r="Z74" s="102" t="s">
        <v>15</v>
      </c>
      <c r="AA74" s="100" t="s">
        <v>141</v>
      </c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</row>
    <row r="75" spans="1:41" ht="15.75" customHeight="1">
      <c r="A75" s="100">
        <v>74</v>
      </c>
      <c r="B75" s="100" t="s">
        <v>330</v>
      </c>
      <c r="C75" s="101" t="s">
        <v>141</v>
      </c>
      <c r="D75" s="101" t="s">
        <v>141</v>
      </c>
      <c r="E75" s="101" t="s">
        <v>141</v>
      </c>
      <c r="F75" s="100" t="s">
        <v>141</v>
      </c>
      <c r="G75" s="100" t="s">
        <v>141</v>
      </c>
      <c r="H75" s="100" t="s">
        <v>141</v>
      </c>
      <c r="I75" s="100" t="s">
        <v>331</v>
      </c>
      <c r="J75" s="100" t="s">
        <v>916</v>
      </c>
      <c r="K75" s="100" t="s">
        <v>144</v>
      </c>
      <c r="L75" s="101" t="s">
        <v>325</v>
      </c>
      <c r="M75" s="100" t="s">
        <v>137</v>
      </c>
      <c r="N75" s="100"/>
      <c r="O75" s="102" t="s">
        <v>15</v>
      </c>
      <c r="P75" s="102" t="s">
        <v>15</v>
      </c>
      <c r="Q75" s="102" t="s">
        <v>15</v>
      </c>
      <c r="R75" s="102" t="s">
        <v>15</v>
      </c>
      <c r="S75" s="102" t="s">
        <v>15</v>
      </c>
      <c r="T75" s="102" t="s">
        <v>15</v>
      </c>
      <c r="U75" s="102" t="s">
        <v>15</v>
      </c>
      <c r="V75" s="102" t="s">
        <v>15</v>
      </c>
      <c r="W75" s="102" t="s">
        <v>15</v>
      </c>
      <c r="X75" s="102" t="s">
        <v>15</v>
      </c>
      <c r="Y75" s="102" t="s">
        <v>15</v>
      </c>
      <c r="Z75" s="102" t="s">
        <v>15</v>
      </c>
      <c r="AA75" s="100" t="s">
        <v>141</v>
      </c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</row>
    <row r="76" spans="1:41" ht="15.75" customHeight="1">
      <c r="A76" s="100">
        <v>75</v>
      </c>
      <c r="B76" s="100" t="s">
        <v>332</v>
      </c>
      <c r="C76" s="101" t="s">
        <v>141</v>
      </c>
      <c r="D76" s="101" t="s">
        <v>141</v>
      </c>
      <c r="E76" s="101" t="s">
        <v>141</v>
      </c>
      <c r="F76" s="100" t="s">
        <v>141</v>
      </c>
      <c r="G76" s="100" t="s">
        <v>141</v>
      </c>
      <c r="H76" s="100" t="s">
        <v>141</v>
      </c>
      <c r="I76" s="100" t="s">
        <v>333</v>
      </c>
      <c r="J76" s="100" t="s">
        <v>917</v>
      </c>
      <c r="K76" s="100" t="s">
        <v>144</v>
      </c>
      <c r="L76" s="101" t="s">
        <v>325</v>
      </c>
      <c r="M76" s="100" t="s">
        <v>137</v>
      </c>
      <c r="N76" s="100"/>
      <c r="O76" s="102" t="s">
        <v>15</v>
      </c>
      <c r="P76" s="102" t="s">
        <v>15</v>
      </c>
      <c r="Q76" s="102" t="s">
        <v>15</v>
      </c>
      <c r="R76" s="102" t="s">
        <v>15</v>
      </c>
      <c r="S76" s="102" t="s">
        <v>15</v>
      </c>
      <c r="T76" s="102" t="s">
        <v>15</v>
      </c>
      <c r="U76" s="102" t="s">
        <v>15</v>
      </c>
      <c r="V76" s="102" t="s">
        <v>15</v>
      </c>
      <c r="W76" s="102" t="s">
        <v>15</v>
      </c>
      <c r="X76" s="102" t="s">
        <v>15</v>
      </c>
      <c r="Y76" s="102" t="s">
        <v>15</v>
      </c>
      <c r="Z76" s="102" t="s">
        <v>15</v>
      </c>
      <c r="AA76" s="100" t="s">
        <v>141</v>
      </c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</row>
    <row r="77" spans="1:41" ht="15.75" customHeight="1">
      <c r="A77" s="100">
        <v>76</v>
      </c>
      <c r="B77" s="100" t="s">
        <v>334</v>
      </c>
      <c r="C77" s="101" t="s">
        <v>141</v>
      </c>
      <c r="D77" s="101" t="s">
        <v>141</v>
      </c>
      <c r="E77" s="101" t="s">
        <v>141</v>
      </c>
      <c r="F77" s="100" t="s">
        <v>141</v>
      </c>
      <c r="G77" s="100" t="s">
        <v>141</v>
      </c>
      <c r="H77" s="100" t="s">
        <v>134</v>
      </c>
      <c r="I77" s="100" t="s">
        <v>335</v>
      </c>
      <c r="J77" s="100" t="s">
        <v>918</v>
      </c>
      <c r="K77" s="100" t="s">
        <v>144</v>
      </c>
      <c r="L77" s="100" t="s">
        <v>336</v>
      </c>
      <c r="M77" s="100" t="s">
        <v>137</v>
      </c>
      <c r="N77" s="100"/>
      <c r="O77" s="102" t="s">
        <v>15</v>
      </c>
      <c r="P77" s="102" t="s">
        <v>15</v>
      </c>
      <c r="Q77" s="102" t="s">
        <v>15</v>
      </c>
      <c r="R77" s="102" t="s">
        <v>15</v>
      </c>
      <c r="S77" s="102" t="s">
        <v>15</v>
      </c>
      <c r="T77" s="102" t="s">
        <v>15</v>
      </c>
      <c r="U77" s="102" t="s">
        <v>15</v>
      </c>
      <c r="V77" s="102" t="s">
        <v>15</v>
      </c>
      <c r="W77" s="103" t="s">
        <v>41</v>
      </c>
      <c r="X77" s="102" t="s">
        <v>15</v>
      </c>
      <c r="Y77" s="102" t="s">
        <v>15</v>
      </c>
      <c r="Z77" s="102" t="s">
        <v>15</v>
      </c>
      <c r="AA77" s="100" t="s">
        <v>134</v>
      </c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</row>
    <row r="78" spans="1:41" ht="15.75" customHeight="1">
      <c r="A78" s="100">
        <v>77</v>
      </c>
      <c r="B78" s="100" t="s">
        <v>337</v>
      </c>
      <c r="C78" s="101" t="s">
        <v>141</v>
      </c>
      <c r="D78" s="101" t="s">
        <v>141</v>
      </c>
      <c r="E78" s="101" t="s">
        <v>141</v>
      </c>
      <c r="F78" s="100" t="s">
        <v>141</v>
      </c>
      <c r="G78" s="100" t="s">
        <v>141</v>
      </c>
      <c r="H78" s="100" t="s">
        <v>134</v>
      </c>
      <c r="I78" s="100" t="s">
        <v>338</v>
      </c>
      <c r="J78" s="100" t="s">
        <v>919</v>
      </c>
      <c r="K78" s="100" t="s">
        <v>144</v>
      </c>
      <c r="L78" s="100" t="s">
        <v>336</v>
      </c>
      <c r="M78" s="100" t="s">
        <v>137</v>
      </c>
      <c r="N78" s="100"/>
      <c r="O78" s="102" t="s">
        <v>15</v>
      </c>
      <c r="P78" s="102" t="s">
        <v>15</v>
      </c>
      <c r="Q78" s="102" t="s">
        <v>15</v>
      </c>
      <c r="R78" s="102" t="s">
        <v>15</v>
      </c>
      <c r="S78" s="102" t="s">
        <v>15</v>
      </c>
      <c r="T78" s="102" t="s">
        <v>15</v>
      </c>
      <c r="U78" s="102" t="s">
        <v>15</v>
      </c>
      <c r="V78" s="102" t="s">
        <v>15</v>
      </c>
      <c r="W78" s="103" t="s">
        <v>41</v>
      </c>
      <c r="X78" s="102" t="s">
        <v>15</v>
      </c>
      <c r="Y78" s="102" t="s">
        <v>15</v>
      </c>
      <c r="Z78" s="102" t="s">
        <v>15</v>
      </c>
      <c r="AA78" s="100" t="s">
        <v>134</v>
      </c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</row>
    <row r="79" spans="1:41" ht="15.75" customHeight="1">
      <c r="A79" s="100">
        <v>78</v>
      </c>
      <c r="B79" s="100" t="s">
        <v>339</v>
      </c>
      <c r="C79" s="101" t="s">
        <v>141</v>
      </c>
      <c r="D79" s="101" t="s">
        <v>141</v>
      </c>
      <c r="E79" s="101" t="s">
        <v>141</v>
      </c>
      <c r="F79" s="100" t="s">
        <v>134</v>
      </c>
      <c r="G79" s="100" t="s">
        <v>141</v>
      </c>
      <c r="H79" s="100" t="s">
        <v>141</v>
      </c>
      <c r="I79" s="100" t="s">
        <v>340</v>
      </c>
      <c r="J79" s="100" t="s">
        <v>920</v>
      </c>
      <c r="K79" s="100" t="s">
        <v>341</v>
      </c>
      <c r="L79" s="100" t="s">
        <v>336</v>
      </c>
      <c r="M79" s="100" t="s">
        <v>137</v>
      </c>
      <c r="N79" s="100"/>
      <c r="O79" s="102" t="s">
        <v>15</v>
      </c>
      <c r="P79" s="102" t="s">
        <v>15</v>
      </c>
      <c r="Q79" s="102" t="s">
        <v>15</v>
      </c>
      <c r="R79" s="102" t="s">
        <v>15</v>
      </c>
      <c r="S79" s="102" t="s">
        <v>15</v>
      </c>
      <c r="T79" s="102" t="s">
        <v>15</v>
      </c>
      <c r="U79" s="103" t="s">
        <v>41</v>
      </c>
      <c r="V79" s="102" t="s">
        <v>15</v>
      </c>
      <c r="W79" s="102" t="s">
        <v>15</v>
      </c>
      <c r="X79" s="102" t="s">
        <v>15</v>
      </c>
      <c r="Y79" s="102" t="s">
        <v>15</v>
      </c>
      <c r="Z79" s="102" t="s">
        <v>15</v>
      </c>
      <c r="AA79" s="100" t="s">
        <v>134</v>
      </c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</row>
    <row r="80" spans="1:41" ht="15.75" customHeight="1">
      <c r="A80" s="100">
        <v>79</v>
      </c>
      <c r="B80" s="100" t="s">
        <v>342</v>
      </c>
      <c r="C80" s="101" t="s">
        <v>141</v>
      </c>
      <c r="D80" s="101" t="s">
        <v>141</v>
      </c>
      <c r="E80" s="101" t="s">
        <v>141</v>
      </c>
      <c r="F80" s="100" t="s">
        <v>141</v>
      </c>
      <c r="G80" s="100" t="s">
        <v>134</v>
      </c>
      <c r="H80" s="100" t="s">
        <v>141</v>
      </c>
      <c r="I80" s="100" t="s">
        <v>343</v>
      </c>
      <c r="J80" s="100" t="s">
        <v>921</v>
      </c>
      <c r="K80" s="100" t="s">
        <v>341</v>
      </c>
      <c r="L80" s="100" t="s">
        <v>336</v>
      </c>
      <c r="M80" s="100" t="s">
        <v>137</v>
      </c>
      <c r="N80" s="100"/>
      <c r="O80" s="102" t="s">
        <v>15</v>
      </c>
      <c r="P80" s="102" t="s">
        <v>15</v>
      </c>
      <c r="Q80" s="102" t="s">
        <v>15</v>
      </c>
      <c r="R80" s="102" t="s">
        <v>15</v>
      </c>
      <c r="S80" s="102" t="s">
        <v>15</v>
      </c>
      <c r="T80" s="102" t="s">
        <v>15</v>
      </c>
      <c r="U80" s="102" t="s">
        <v>15</v>
      </c>
      <c r="V80" s="103" t="s">
        <v>41</v>
      </c>
      <c r="W80" s="102" t="s">
        <v>15</v>
      </c>
      <c r="X80" s="102" t="s">
        <v>15</v>
      </c>
      <c r="Y80" s="102" t="s">
        <v>15</v>
      </c>
      <c r="Z80" s="102" t="s">
        <v>15</v>
      </c>
      <c r="AA80" s="100" t="s">
        <v>134</v>
      </c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</row>
    <row r="81" spans="1:41" ht="15.75" customHeight="1">
      <c r="A81" s="100">
        <v>80</v>
      </c>
      <c r="B81" s="100" t="s">
        <v>344</v>
      </c>
      <c r="C81" s="101" t="s">
        <v>141</v>
      </c>
      <c r="D81" s="101" t="s">
        <v>134</v>
      </c>
      <c r="E81" s="101" t="s">
        <v>141</v>
      </c>
      <c r="F81" s="100" t="s">
        <v>141</v>
      </c>
      <c r="G81" s="100" t="s">
        <v>141</v>
      </c>
      <c r="H81" s="100" t="s">
        <v>141</v>
      </c>
      <c r="I81" s="100" t="s">
        <v>345</v>
      </c>
      <c r="J81" s="100" t="s">
        <v>922</v>
      </c>
      <c r="K81" s="100" t="s">
        <v>341</v>
      </c>
      <c r="L81" s="100" t="s">
        <v>336</v>
      </c>
      <c r="M81" s="100" t="s">
        <v>137</v>
      </c>
      <c r="N81" s="100"/>
      <c r="O81" s="102" t="s">
        <v>15</v>
      </c>
      <c r="P81" s="102" t="s">
        <v>15</v>
      </c>
      <c r="Q81" s="102" t="s">
        <v>15</v>
      </c>
      <c r="R81" s="102" t="s">
        <v>15</v>
      </c>
      <c r="S81" s="102" t="s">
        <v>15</v>
      </c>
      <c r="T81" s="102" t="s">
        <v>15</v>
      </c>
      <c r="U81" s="102" t="s">
        <v>15</v>
      </c>
      <c r="V81" s="102" t="s">
        <v>15</v>
      </c>
      <c r="W81" s="102" t="s">
        <v>15</v>
      </c>
      <c r="X81" s="102" t="s">
        <v>15</v>
      </c>
      <c r="Y81" s="103" t="s">
        <v>41</v>
      </c>
      <c r="Z81" s="102" t="s">
        <v>15</v>
      </c>
      <c r="AA81" s="100" t="s">
        <v>134</v>
      </c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</row>
    <row r="82" spans="1:41" ht="15.75" customHeight="1">
      <c r="A82" s="100">
        <v>81</v>
      </c>
      <c r="B82" s="100" t="s">
        <v>346</v>
      </c>
      <c r="C82" s="101" t="s">
        <v>134</v>
      </c>
      <c r="D82" s="101" t="s">
        <v>141</v>
      </c>
      <c r="E82" s="101" t="s">
        <v>141</v>
      </c>
      <c r="F82" s="100" t="s">
        <v>141</v>
      </c>
      <c r="G82" s="100" t="s">
        <v>141</v>
      </c>
      <c r="H82" s="100" t="s">
        <v>141</v>
      </c>
      <c r="I82" s="100" t="s">
        <v>347</v>
      </c>
      <c r="J82" s="100" t="s">
        <v>923</v>
      </c>
      <c r="K82" s="100" t="s">
        <v>341</v>
      </c>
      <c r="L82" s="100" t="s">
        <v>336</v>
      </c>
      <c r="M82" s="100" t="s">
        <v>137</v>
      </c>
      <c r="N82" s="100"/>
      <c r="O82" s="102" t="s">
        <v>15</v>
      </c>
      <c r="P82" s="102" t="s">
        <v>15</v>
      </c>
      <c r="Q82" s="102" t="s">
        <v>15</v>
      </c>
      <c r="R82" s="102" t="s">
        <v>15</v>
      </c>
      <c r="S82" s="102" t="s">
        <v>15</v>
      </c>
      <c r="T82" s="102" t="s">
        <v>15</v>
      </c>
      <c r="U82" s="102" t="s">
        <v>15</v>
      </c>
      <c r="V82" s="102" t="s">
        <v>15</v>
      </c>
      <c r="W82" s="102" t="s">
        <v>15</v>
      </c>
      <c r="X82" s="102" t="s">
        <v>15</v>
      </c>
      <c r="Y82" s="102" t="s">
        <v>15</v>
      </c>
      <c r="Z82" s="103" t="s">
        <v>41</v>
      </c>
      <c r="AA82" s="100" t="s">
        <v>134</v>
      </c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</row>
    <row r="83" spans="1:41" ht="15.75" customHeight="1">
      <c r="A83" s="100">
        <v>82</v>
      </c>
      <c r="B83" s="100" t="s">
        <v>348</v>
      </c>
      <c r="C83" s="101" t="s">
        <v>134</v>
      </c>
      <c r="D83" s="101" t="s">
        <v>141</v>
      </c>
      <c r="E83" s="101" t="s">
        <v>141</v>
      </c>
      <c r="F83" s="100" t="s">
        <v>141</v>
      </c>
      <c r="G83" s="100" t="s">
        <v>141</v>
      </c>
      <c r="H83" s="100" t="s">
        <v>141</v>
      </c>
      <c r="I83" s="100" t="s">
        <v>349</v>
      </c>
      <c r="J83" s="100" t="s">
        <v>924</v>
      </c>
      <c r="K83" s="100" t="s">
        <v>341</v>
      </c>
      <c r="L83" s="100" t="s">
        <v>336</v>
      </c>
      <c r="M83" s="100" t="s">
        <v>137</v>
      </c>
      <c r="N83" s="100"/>
      <c r="O83" s="102" t="s">
        <v>15</v>
      </c>
      <c r="P83" s="102" t="s">
        <v>15</v>
      </c>
      <c r="Q83" s="102" t="s">
        <v>15</v>
      </c>
      <c r="R83" s="102" t="s">
        <v>15</v>
      </c>
      <c r="S83" s="102" t="s">
        <v>15</v>
      </c>
      <c r="T83" s="102" t="s">
        <v>15</v>
      </c>
      <c r="U83" s="102" t="s">
        <v>15</v>
      </c>
      <c r="V83" s="102" t="s">
        <v>15</v>
      </c>
      <c r="W83" s="102" t="s">
        <v>15</v>
      </c>
      <c r="X83" s="102" t="s">
        <v>15</v>
      </c>
      <c r="Y83" s="102" t="s">
        <v>15</v>
      </c>
      <c r="Z83" s="103" t="s">
        <v>41</v>
      </c>
      <c r="AA83" s="100" t="s">
        <v>134</v>
      </c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</row>
    <row r="84" spans="1:41" ht="15.75" customHeight="1">
      <c r="A84" s="100">
        <v>83</v>
      </c>
      <c r="B84" s="100" t="s">
        <v>350</v>
      </c>
      <c r="C84" s="101" t="s">
        <v>141</v>
      </c>
      <c r="D84" s="101" t="s">
        <v>141</v>
      </c>
      <c r="E84" s="101" t="s">
        <v>134</v>
      </c>
      <c r="F84" s="100" t="s">
        <v>141</v>
      </c>
      <c r="G84" s="100" t="s">
        <v>141</v>
      </c>
      <c r="H84" s="100" t="s">
        <v>141</v>
      </c>
      <c r="I84" s="100" t="s">
        <v>351</v>
      </c>
      <c r="J84" s="100" t="s">
        <v>925</v>
      </c>
      <c r="K84" s="100" t="s">
        <v>341</v>
      </c>
      <c r="L84" s="100" t="s">
        <v>336</v>
      </c>
      <c r="M84" s="100" t="s">
        <v>137</v>
      </c>
      <c r="N84" s="100"/>
      <c r="O84" s="102" t="s">
        <v>15</v>
      </c>
      <c r="P84" s="102" t="s">
        <v>15</v>
      </c>
      <c r="Q84" s="102" t="s">
        <v>15</v>
      </c>
      <c r="R84" s="102" t="s">
        <v>15</v>
      </c>
      <c r="S84" s="102" t="s">
        <v>15</v>
      </c>
      <c r="T84" s="102" t="s">
        <v>15</v>
      </c>
      <c r="U84" s="102" t="s">
        <v>15</v>
      </c>
      <c r="V84" s="102" t="s">
        <v>15</v>
      </c>
      <c r="W84" s="102" t="s">
        <v>15</v>
      </c>
      <c r="X84" s="103" t="s">
        <v>41</v>
      </c>
      <c r="Y84" s="102" t="s">
        <v>15</v>
      </c>
      <c r="Z84" s="102" t="s">
        <v>15</v>
      </c>
      <c r="AA84" s="100" t="s">
        <v>134</v>
      </c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</row>
    <row r="85" spans="1:41" ht="15.75" customHeight="1">
      <c r="A85" s="100">
        <v>84</v>
      </c>
      <c r="B85" s="100" t="s">
        <v>352</v>
      </c>
      <c r="C85" s="101" t="s">
        <v>141</v>
      </c>
      <c r="D85" s="101" t="s">
        <v>141</v>
      </c>
      <c r="E85" s="101" t="s">
        <v>141</v>
      </c>
      <c r="F85" s="100" t="s">
        <v>141</v>
      </c>
      <c r="G85" s="100" t="s">
        <v>141</v>
      </c>
      <c r="H85" s="100" t="s">
        <v>134</v>
      </c>
      <c r="I85" s="100" t="s">
        <v>353</v>
      </c>
      <c r="J85" s="100" t="s">
        <v>926</v>
      </c>
      <c r="K85" s="100" t="s">
        <v>354</v>
      </c>
      <c r="L85" s="100" t="s">
        <v>355</v>
      </c>
      <c r="M85" s="100" t="s">
        <v>137</v>
      </c>
      <c r="N85" s="100"/>
      <c r="O85" s="102" t="s">
        <v>15</v>
      </c>
      <c r="P85" s="102" t="s">
        <v>15</v>
      </c>
      <c r="Q85" s="102" t="s">
        <v>15</v>
      </c>
      <c r="R85" s="102" t="s">
        <v>15</v>
      </c>
      <c r="S85" s="102" t="s">
        <v>15</v>
      </c>
      <c r="T85" s="102" t="s">
        <v>15</v>
      </c>
      <c r="U85" s="102" t="s">
        <v>15</v>
      </c>
      <c r="V85" s="102" t="s">
        <v>15</v>
      </c>
      <c r="W85" s="103" t="s">
        <v>41</v>
      </c>
      <c r="X85" s="102" t="s">
        <v>15</v>
      </c>
      <c r="Y85" s="102" t="s">
        <v>15</v>
      </c>
      <c r="Z85" s="102" t="s">
        <v>15</v>
      </c>
      <c r="AA85" s="100" t="s">
        <v>134</v>
      </c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</row>
    <row r="86" spans="1:41" ht="15.75" customHeight="1">
      <c r="A86" s="100">
        <v>85</v>
      </c>
      <c r="B86" s="100" t="s">
        <v>356</v>
      </c>
      <c r="C86" s="101" t="s">
        <v>141</v>
      </c>
      <c r="D86" s="101" t="s">
        <v>141</v>
      </c>
      <c r="E86" s="101" t="s">
        <v>141</v>
      </c>
      <c r="F86" s="100" t="s">
        <v>141</v>
      </c>
      <c r="G86" s="100" t="s">
        <v>141</v>
      </c>
      <c r="H86" s="100" t="s">
        <v>134</v>
      </c>
      <c r="I86" s="100" t="s">
        <v>357</v>
      </c>
      <c r="J86" s="100" t="s">
        <v>927</v>
      </c>
      <c r="K86" s="100" t="s">
        <v>354</v>
      </c>
      <c r="L86" s="100" t="s">
        <v>355</v>
      </c>
      <c r="M86" s="100" t="s">
        <v>137</v>
      </c>
      <c r="N86" s="100"/>
      <c r="O86" s="102" t="s">
        <v>15</v>
      </c>
      <c r="P86" s="102" t="s">
        <v>15</v>
      </c>
      <c r="Q86" s="102" t="s">
        <v>15</v>
      </c>
      <c r="R86" s="102" t="s">
        <v>15</v>
      </c>
      <c r="S86" s="102" t="s">
        <v>15</v>
      </c>
      <c r="T86" s="102" t="s">
        <v>15</v>
      </c>
      <c r="U86" s="102" t="s">
        <v>15</v>
      </c>
      <c r="V86" s="102" t="s">
        <v>15</v>
      </c>
      <c r="W86" s="103" t="s">
        <v>41</v>
      </c>
      <c r="X86" s="102" t="s">
        <v>15</v>
      </c>
      <c r="Y86" s="102" t="s">
        <v>15</v>
      </c>
      <c r="Z86" s="102" t="s">
        <v>15</v>
      </c>
      <c r="AA86" s="100" t="s">
        <v>134</v>
      </c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</row>
    <row r="87" spans="1:41" ht="15.75" customHeight="1">
      <c r="A87" s="100">
        <v>86</v>
      </c>
      <c r="B87" s="100" t="s">
        <v>358</v>
      </c>
      <c r="C87" s="101" t="s">
        <v>141</v>
      </c>
      <c r="D87" s="101" t="s">
        <v>141</v>
      </c>
      <c r="E87" s="101" t="s">
        <v>141</v>
      </c>
      <c r="F87" s="100" t="s">
        <v>134</v>
      </c>
      <c r="G87" s="100" t="s">
        <v>141</v>
      </c>
      <c r="H87" s="100" t="s">
        <v>141</v>
      </c>
      <c r="I87" s="100" t="s">
        <v>359</v>
      </c>
      <c r="J87" s="100" t="s">
        <v>928</v>
      </c>
      <c r="K87" s="100" t="s">
        <v>354</v>
      </c>
      <c r="L87" s="100" t="s">
        <v>355</v>
      </c>
      <c r="M87" s="100" t="s">
        <v>137</v>
      </c>
      <c r="N87" s="100"/>
      <c r="O87" s="102" t="s">
        <v>15</v>
      </c>
      <c r="P87" s="102" t="s">
        <v>15</v>
      </c>
      <c r="Q87" s="102" t="s">
        <v>15</v>
      </c>
      <c r="R87" s="102" t="s">
        <v>15</v>
      </c>
      <c r="S87" s="102" t="s">
        <v>15</v>
      </c>
      <c r="T87" s="102" t="s">
        <v>15</v>
      </c>
      <c r="U87" s="103" t="s">
        <v>41</v>
      </c>
      <c r="V87" s="102" t="s">
        <v>15</v>
      </c>
      <c r="W87" s="102" t="s">
        <v>15</v>
      </c>
      <c r="X87" s="102" t="s">
        <v>15</v>
      </c>
      <c r="Y87" s="102" t="s">
        <v>15</v>
      </c>
      <c r="Z87" s="102" t="s">
        <v>15</v>
      </c>
      <c r="AA87" s="100" t="s">
        <v>134</v>
      </c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</row>
    <row r="88" spans="1:41" ht="15.75" customHeight="1">
      <c r="A88" s="100">
        <v>87</v>
      </c>
      <c r="B88" s="100" t="s">
        <v>360</v>
      </c>
      <c r="C88" s="101" t="s">
        <v>141</v>
      </c>
      <c r="D88" s="101" t="s">
        <v>141</v>
      </c>
      <c r="E88" s="101" t="s">
        <v>141</v>
      </c>
      <c r="F88" s="100" t="s">
        <v>141</v>
      </c>
      <c r="G88" s="100" t="s">
        <v>134</v>
      </c>
      <c r="H88" s="100" t="s">
        <v>141</v>
      </c>
      <c r="I88" s="100" t="s">
        <v>361</v>
      </c>
      <c r="J88" s="100" t="s">
        <v>929</v>
      </c>
      <c r="K88" s="100" t="s">
        <v>354</v>
      </c>
      <c r="L88" s="100" t="s">
        <v>355</v>
      </c>
      <c r="M88" s="100" t="s">
        <v>137</v>
      </c>
      <c r="N88" s="100"/>
      <c r="O88" s="102" t="s">
        <v>15</v>
      </c>
      <c r="P88" s="102" t="s">
        <v>15</v>
      </c>
      <c r="Q88" s="102" t="s">
        <v>15</v>
      </c>
      <c r="R88" s="102" t="s">
        <v>15</v>
      </c>
      <c r="S88" s="102" t="s">
        <v>15</v>
      </c>
      <c r="T88" s="102" t="s">
        <v>15</v>
      </c>
      <c r="U88" s="102" t="s">
        <v>15</v>
      </c>
      <c r="V88" s="103" t="s">
        <v>41</v>
      </c>
      <c r="W88" s="102" t="s">
        <v>15</v>
      </c>
      <c r="X88" s="102" t="s">
        <v>15</v>
      </c>
      <c r="Y88" s="102" t="s">
        <v>15</v>
      </c>
      <c r="Z88" s="102" t="s">
        <v>15</v>
      </c>
      <c r="AA88" s="100" t="s">
        <v>134</v>
      </c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</row>
    <row r="89" spans="1:41" ht="15.75" customHeight="1">
      <c r="A89" s="100">
        <v>88</v>
      </c>
      <c r="B89" s="100" t="s">
        <v>362</v>
      </c>
      <c r="C89" s="101" t="s">
        <v>141</v>
      </c>
      <c r="D89" s="101" t="s">
        <v>134</v>
      </c>
      <c r="E89" s="101" t="s">
        <v>141</v>
      </c>
      <c r="F89" s="100" t="s">
        <v>141</v>
      </c>
      <c r="G89" s="100" t="s">
        <v>141</v>
      </c>
      <c r="H89" s="100" t="s">
        <v>141</v>
      </c>
      <c r="I89" s="100" t="s">
        <v>363</v>
      </c>
      <c r="J89" s="100" t="s">
        <v>930</v>
      </c>
      <c r="K89" s="100" t="s">
        <v>354</v>
      </c>
      <c r="L89" s="100" t="s">
        <v>355</v>
      </c>
      <c r="M89" s="100" t="s">
        <v>137</v>
      </c>
      <c r="N89" s="100"/>
      <c r="O89" s="102" t="s">
        <v>15</v>
      </c>
      <c r="P89" s="102" t="s">
        <v>15</v>
      </c>
      <c r="Q89" s="102" t="s">
        <v>15</v>
      </c>
      <c r="R89" s="102" t="s">
        <v>15</v>
      </c>
      <c r="S89" s="102" t="s">
        <v>15</v>
      </c>
      <c r="T89" s="102" t="s">
        <v>15</v>
      </c>
      <c r="U89" s="102" t="s">
        <v>15</v>
      </c>
      <c r="V89" s="102" t="s">
        <v>15</v>
      </c>
      <c r="W89" s="102" t="s">
        <v>15</v>
      </c>
      <c r="X89" s="102" t="s">
        <v>15</v>
      </c>
      <c r="Y89" s="103" t="s">
        <v>41</v>
      </c>
      <c r="Z89" s="102" t="s">
        <v>15</v>
      </c>
      <c r="AA89" s="100" t="s">
        <v>134</v>
      </c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</row>
    <row r="90" spans="1:41" ht="15.75" customHeight="1">
      <c r="A90" s="100">
        <v>89</v>
      </c>
      <c r="B90" s="100" t="s">
        <v>364</v>
      </c>
      <c r="C90" s="101" t="s">
        <v>134</v>
      </c>
      <c r="D90" s="101" t="s">
        <v>141</v>
      </c>
      <c r="E90" s="101" t="s">
        <v>141</v>
      </c>
      <c r="F90" s="100" t="s">
        <v>141</v>
      </c>
      <c r="G90" s="100" t="s">
        <v>141</v>
      </c>
      <c r="H90" s="100" t="s">
        <v>141</v>
      </c>
      <c r="I90" s="100" t="s">
        <v>365</v>
      </c>
      <c r="J90" s="100" t="s">
        <v>931</v>
      </c>
      <c r="K90" s="100" t="s">
        <v>354</v>
      </c>
      <c r="L90" s="100" t="s">
        <v>355</v>
      </c>
      <c r="M90" s="100" t="s">
        <v>137</v>
      </c>
      <c r="N90" s="100"/>
      <c r="O90" s="102" t="s">
        <v>15</v>
      </c>
      <c r="P90" s="102" t="s">
        <v>15</v>
      </c>
      <c r="Q90" s="102" t="s">
        <v>15</v>
      </c>
      <c r="R90" s="102" t="s">
        <v>15</v>
      </c>
      <c r="S90" s="102" t="s">
        <v>15</v>
      </c>
      <c r="T90" s="102" t="s">
        <v>15</v>
      </c>
      <c r="U90" s="102" t="s">
        <v>15</v>
      </c>
      <c r="V90" s="102" t="s">
        <v>15</v>
      </c>
      <c r="W90" s="102" t="s">
        <v>15</v>
      </c>
      <c r="X90" s="102" t="s">
        <v>15</v>
      </c>
      <c r="Y90" s="102" t="s">
        <v>15</v>
      </c>
      <c r="Z90" s="103" t="s">
        <v>41</v>
      </c>
      <c r="AA90" s="100" t="s">
        <v>134</v>
      </c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</row>
    <row r="91" spans="1:41" ht="15.75" customHeight="1">
      <c r="A91" s="100">
        <v>90</v>
      </c>
      <c r="B91" s="100" t="s">
        <v>366</v>
      </c>
      <c r="C91" s="101" t="s">
        <v>134</v>
      </c>
      <c r="D91" s="101" t="s">
        <v>141</v>
      </c>
      <c r="E91" s="101" t="s">
        <v>141</v>
      </c>
      <c r="F91" s="100" t="s">
        <v>141</v>
      </c>
      <c r="G91" s="100" t="s">
        <v>141</v>
      </c>
      <c r="H91" s="100" t="s">
        <v>141</v>
      </c>
      <c r="I91" s="100" t="s">
        <v>367</v>
      </c>
      <c r="J91" s="100" t="s">
        <v>932</v>
      </c>
      <c r="K91" s="100" t="s">
        <v>354</v>
      </c>
      <c r="L91" s="100" t="s">
        <v>355</v>
      </c>
      <c r="M91" s="100" t="s">
        <v>137</v>
      </c>
      <c r="N91" s="100"/>
      <c r="O91" s="102" t="s">
        <v>15</v>
      </c>
      <c r="P91" s="102" t="s">
        <v>15</v>
      </c>
      <c r="Q91" s="102" t="s">
        <v>15</v>
      </c>
      <c r="R91" s="102" t="s">
        <v>15</v>
      </c>
      <c r="S91" s="102" t="s">
        <v>15</v>
      </c>
      <c r="T91" s="102" t="s">
        <v>15</v>
      </c>
      <c r="U91" s="102" t="s">
        <v>15</v>
      </c>
      <c r="V91" s="102" t="s">
        <v>15</v>
      </c>
      <c r="W91" s="102" t="s">
        <v>15</v>
      </c>
      <c r="X91" s="102" t="s">
        <v>15</v>
      </c>
      <c r="Y91" s="102" t="s">
        <v>15</v>
      </c>
      <c r="Z91" s="103" t="s">
        <v>41</v>
      </c>
      <c r="AA91" s="100" t="s">
        <v>134</v>
      </c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</row>
    <row r="92" spans="1:41" ht="15.75" customHeight="1">
      <c r="A92" s="100">
        <v>91</v>
      </c>
      <c r="B92" s="100" t="s">
        <v>368</v>
      </c>
      <c r="C92" s="101" t="s">
        <v>141</v>
      </c>
      <c r="D92" s="101" t="s">
        <v>141</v>
      </c>
      <c r="E92" s="101" t="s">
        <v>134</v>
      </c>
      <c r="F92" s="100" t="s">
        <v>141</v>
      </c>
      <c r="G92" s="100" t="s">
        <v>141</v>
      </c>
      <c r="H92" s="100" t="s">
        <v>141</v>
      </c>
      <c r="I92" s="100" t="s">
        <v>369</v>
      </c>
      <c r="J92" s="100" t="s">
        <v>933</v>
      </c>
      <c r="K92" s="100" t="s">
        <v>354</v>
      </c>
      <c r="L92" s="100" t="s">
        <v>355</v>
      </c>
      <c r="M92" s="100" t="s">
        <v>137</v>
      </c>
      <c r="N92" s="100"/>
      <c r="O92" s="102" t="s">
        <v>15</v>
      </c>
      <c r="P92" s="102" t="s">
        <v>15</v>
      </c>
      <c r="Q92" s="102" t="s">
        <v>15</v>
      </c>
      <c r="R92" s="102" t="s">
        <v>15</v>
      </c>
      <c r="S92" s="102" t="s">
        <v>15</v>
      </c>
      <c r="T92" s="102" t="s">
        <v>15</v>
      </c>
      <c r="U92" s="102" t="s">
        <v>15</v>
      </c>
      <c r="V92" s="102" t="s">
        <v>15</v>
      </c>
      <c r="W92" s="102" t="s">
        <v>15</v>
      </c>
      <c r="X92" s="103" t="s">
        <v>41</v>
      </c>
      <c r="Y92" s="102" t="s">
        <v>15</v>
      </c>
      <c r="Z92" s="102" t="s">
        <v>15</v>
      </c>
      <c r="AA92" s="100" t="s">
        <v>134</v>
      </c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</row>
    <row r="93" spans="1:41" ht="15.75" customHeight="1">
      <c r="A93" s="100">
        <v>92</v>
      </c>
      <c r="B93" s="100" t="s">
        <v>370</v>
      </c>
      <c r="C93" s="101" t="s">
        <v>141</v>
      </c>
      <c r="D93" s="101" t="s">
        <v>134</v>
      </c>
      <c r="E93" s="101" t="s">
        <v>141</v>
      </c>
      <c r="F93" s="100" t="s">
        <v>141</v>
      </c>
      <c r="G93" s="100" t="s">
        <v>141</v>
      </c>
      <c r="H93" s="100" t="s">
        <v>141</v>
      </c>
      <c r="I93" s="100" t="s">
        <v>371</v>
      </c>
      <c r="J93" s="100" t="s">
        <v>934</v>
      </c>
      <c r="K93" s="100" t="s">
        <v>40</v>
      </c>
      <c r="L93" s="100" t="s">
        <v>372</v>
      </c>
      <c r="M93" s="100" t="s">
        <v>137</v>
      </c>
      <c r="N93" s="100"/>
      <c r="O93" s="102" t="s">
        <v>15</v>
      </c>
      <c r="P93" s="102" t="s">
        <v>15</v>
      </c>
      <c r="Q93" s="102" t="s">
        <v>15</v>
      </c>
      <c r="R93" s="102" t="s">
        <v>15</v>
      </c>
      <c r="S93" s="102" t="s">
        <v>15</v>
      </c>
      <c r="T93" s="102" t="s">
        <v>15</v>
      </c>
      <c r="U93" s="102" t="s">
        <v>15</v>
      </c>
      <c r="V93" s="102" t="s">
        <v>15</v>
      </c>
      <c r="W93" s="102" t="s">
        <v>15</v>
      </c>
      <c r="X93" s="102" t="s">
        <v>15</v>
      </c>
      <c r="Y93" s="103" t="s">
        <v>41</v>
      </c>
      <c r="Z93" s="102" t="s">
        <v>15</v>
      </c>
      <c r="AA93" s="100" t="s">
        <v>134</v>
      </c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</row>
    <row r="94" spans="1:41" ht="15.75" customHeight="1">
      <c r="A94" s="100">
        <v>93</v>
      </c>
      <c r="B94" s="100" t="s">
        <v>373</v>
      </c>
      <c r="C94" s="101" t="s">
        <v>134</v>
      </c>
      <c r="D94" s="101" t="s">
        <v>141</v>
      </c>
      <c r="E94" s="101" t="s">
        <v>141</v>
      </c>
      <c r="F94" s="100" t="s">
        <v>141</v>
      </c>
      <c r="G94" s="100" t="s">
        <v>141</v>
      </c>
      <c r="H94" s="100" t="s">
        <v>141</v>
      </c>
      <c r="I94" s="100" t="s">
        <v>374</v>
      </c>
      <c r="J94" s="100" t="s">
        <v>935</v>
      </c>
      <c r="K94" s="100" t="s">
        <v>40</v>
      </c>
      <c r="L94" s="100" t="s">
        <v>372</v>
      </c>
      <c r="M94" s="100" t="s">
        <v>137</v>
      </c>
      <c r="N94" s="100"/>
      <c r="O94" s="102" t="s">
        <v>15</v>
      </c>
      <c r="P94" s="102" t="s">
        <v>15</v>
      </c>
      <c r="Q94" s="102" t="s">
        <v>15</v>
      </c>
      <c r="R94" s="102" t="s">
        <v>15</v>
      </c>
      <c r="S94" s="102" t="s">
        <v>15</v>
      </c>
      <c r="T94" s="102" t="s">
        <v>15</v>
      </c>
      <c r="U94" s="102" t="s">
        <v>15</v>
      </c>
      <c r="V94" s="102" t="s">
        <v>15</v>
      </c>
      <c r="W94" s="102" t="s">
        <v>15</v>
      </c>
      <c r="X94" s="102" t="s">
        <v>15</v>
      </c>
      <c r="Y94" s="102" t="s">
        <v>15</v>
      </c>
      <c r="Z94" s="103" t="s">
        <v>41</v>
      </c>
      <c r="AA94" s="100" t="s">
        <v>134</v>
      </c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</row>
    <row r="95" spans="1:41" ht="15.75" customHeight="1">
      <c r="A95" s="100">
        <v>94</v>
      </c>
      <c r="B95" s="100" t="s">
        <v>375</v>
      </c>
      <c r="C95" s="101" t="s">
        <v>141</v>
      </c>
      <c r="D95" s="101" t="s">
        <v>141</v>
      </c>
      <c r="E95" s="101" t="s">
        <v>134</v>
      </c>
      <c r="F95" s="100" t="s">
        <v>141</v>
      </c>
      <c r="G95" s="100" t="s">
        <v>141</v>
      </c>
      <c r="H95" s="100" t="s">
        <v>141</v>
      </c>
      <c r="I95" s="100" t="s">
        <v>376</v>
      </c>
      <c r="J95" s="100" t="s">
        <v>936</v>
      </c>
      <c r="K95" s="100" t="s">
        <v>40</v>
      </c>
      <c r="L95" s="100" t="s">
        <v>372</v>
      </c>
      <c r="M95" s="100" t="s">
        <v>137</v>
      </c>
      <c r="N95" s="100"/>
      <c r="O95" s="102" t="s">
        <v>15</v>
      </c>
      <c r="P95" s="102" t="s">
        <v>15</v>
      </c>
      <c r="Q95" s="102" t="s">
        <v>15</v>
      </c>
      <c r="R95" s="102" t="s">
        <v>15</v>
      </c>
      <c r="S95" s="102" t="s">
        <v>15</v>
      </c>
      <c r="T95" s="102" t="s">
        <v>15</v>
      </c>
      <c r="U95" s="102" t="s">
        <v>15</v>
      </c>
      <c r="V95" s="102" t="s">
        <v>15</v>
      </c>
      <c r="W95" s="102" t="s">
        <v>15</v>
      </c>
      <c r="X95" s="103" t="s">
        <v>41</v>
      </c>
      <c r="Y95" s="102" t="s">
        <v>15</v>
      </c>
      <c r="Z95" s="102" t="s">
        <v>15</v>
      </c>
      <c r="AA95" s="100" t="s">
        <v>134</v>
      </c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</row>
    <row r="96" spans="1:41" ht="15.75" customHeight="1">
      <c r="A96" s="100">
        <v>95</v>
      </c>
      <c r="B96" s="100" t="s">
        <v>377</v>
      </c>
      <c r="C96" s="101" t="s">
        <v>141</v>
      </c>
      <c r="D96" s="101" t="s">
        <v>141</v>
      </c>
      <c r="E96" s="101" t="s">
        <v>141</v>
      </c>
      <c r="F96" s="100" t="s">
        <v>141</v>
      </c>
      <c r="G96" s="100" t="s">
        <v>141</v>
      </c>
      <c r="H96" s="100" t="s">
        <v>141</v>
      </c>
      <c r="I96" s="100" t="s">
        <v>378</v>
      </c>
      <c r="J96" s="100" t="s">
        <v>937</v>
      </c>
      <c r="K96" s="100" t="s">
        <v>40</v>
      </c>
      <c r="L96" s="100" t="s">
        <v>379</v>
      </c>
      <c r="M96" s="100" t="s">
        <v>711</v>
      </c>
      <c r="N96" s="100"/>
      <c r="O96" s="102" t="s">
        <v>15</v>
      </c>
      <c r="P96" s="102" t="s">
        <v>15</v>
      </c>
      <c r="Q96" s="102" t="s">
        <v>15</v>
      </c>
      <c r="R96" s="102" t="s">
        <v>15</v>
      </c>
      <c r="S96" s="102" t="s">
        <v>15</v>
      </c>
      <c r="T96" s="102" t="s">
        <v>15</v>
      </c>
      <c r="U96" s="102" t="s">
        <v>15</v>
      </c>
      <c r="V96" s="102" t="s">
        <v>15</v>
      </c>
      <c r="W96" s="102" t="s">
        <v>15</v>
      </c>
      <c r="X96" s="102" t="s">
        <v>15</v>
      </c>
      <c r="Y96" s="102" t="s">
        <v>15</v>
      </c>
      <c r="Z96" s="102" t="s">
        <v>15</v>
      </c>
      <c r="AA96" s="100" t="s">
        <v>141</v>
      </c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</row>
    <row r="97" spans="1:41" ht="15.75" customHeight="1">
      <c r="A97" s="100">
        <v>96</v>
      </c>
      <c r="B97" s="100" t="s">
        <v>380</v>
      </c>
      <c r="C97" s="101" t="s">
        <v>141</v>
      </c>
      <c r="D97" s="101" t="s">
        <v>141</v>
      </c>
      <c r="E97" s="101" t="s">
        <v>141</v>
      </c>
      <c r="F97" s="100" t="s">
        <v>141</v>
      </c>
      <c r="G97" s="100" t="s">
        <v>141</v>
      </c>
      <c r="H97" s="100" t="s">
        <v>141</v>
      </c>
      <c r="I97" s="100" t="s">
        <v>381</v>
      </c>
      <c r="J97" s="100" t="s">
        <v>938</v>
      </c>
      <c r="K97" s="100" t="s">
        <v>40</v>
      </c>
      <c r="L97" s="100" t="s">
        <v>379</v>
      </c>
      <c r="M97" s="100" t="s">
        <v>711</v>
      </c>
      <c r="N97" s="100"/>
      <c r="O97" s="102" t="s">
        <v>15</v>
      </c>
      <c r="P97" s="102" t="s">
        <v>15</v>
      </c>
      <c r="Q97" s="102" t="s">
        <v>15</v>
      </c>
      <c r="R97" s="102" t="s">
        <v>15</v>
      </c>
      <c r="S97" s="102" t="s">
        <v>15</v>
      </c>
      <c r="T97" s="102" t="s">
        <v>15</v>
      </c>
      <c r="U97" s="102" t="s">
        <v>15</v>
      </c>
      <c r="V97" s="102" t="s">
        <v>15</v>
      </c>
      <c r="W97" s="102" t="s">
        <v>15</v>
      </c>
      <c r="X97" s="102" t="s">
        <v>15</v>
      </c>
      <c r="Y97" s="102" t="s">
        <v>15</v>
      </c>
      <c r="Z97" s="102" t="s">
        <v>15</v>
      </c>
      <c r="AA97" s="100" t="s">
        <v>141</v>
      </c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</row>
    <row r="98" spans="1:41" ht="15.75" customHeight="1">
      <c r="A98" s="100">
        <v>97</v>
      </c>
      <c r="B98" s="100" t="s">
        <v>382</v>
      </c>
      <c r="C98" s="101" t="s">
        <v>141</v>
      </c>
      <c r="D98" s="101" t="s">
        <v>141</v>
      </c>
      <c r="E98" s="101" t="s">
        <v>141</v>
      </c>
      <c r="F98" s="100" t="s">
        <v>141</v>
      </c>
      <c r="G98" s="100" t="s">
        <v>141</v>
      </c>
      <c r="H98" s="100" t="s">
        <v>141</v>
      </c>
      <c r="I98" s="100" t="s">
        <v>383</v>
      </c>
      <c r="J98" s="100" t="s">
        <v>939</v>
      </c>
      <c r="K98" s="100" t="s">
        <v>40</v>
      </c>
      <c r="L98" s="100" t="s">
        <v>379</v>
      </c>
      <c r="M98" s="100" t="s">
        <v>711</v>
      </c>
      <c r="N98" s="100"/>
      <c r="O98" s="102" t="s">
        <v>15</v>
      </c>
      <c r="P98" s="102" t="s">
        <v>15</v>
      </c>
      <c r="Q98" s="102" t="s">
        <v>15</v>
      </c>
      <c r="R98" s="102" t="s">
        <v>15</v>
      </c>
      <c r="S98" s="102" t="s">
        <v>15</v>
      </c>
      <c r="T98" s="102" t="s">
        <v>15</v>
      </c>
      <c r="U98" s="102" t="s">
        <v>15</v>
      </c>
      <c r="V98" s="102" t="s">
        <v>15</v>
      </c>
      <c r="W98" s="102" t="s">
        <v>15</v>
      </c>
      <c r="X98" s="102" t="s">
        <v>15</v>
      </c>
      <c r="Y98" s="102" t="s">
        <v>15</v>
      </c>
      <c r="Z98" s="102" t="s">
        <v>15</v>
      </c>
      <c r="AA98" s="100" t="s">
        <v>141</v>
      </c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</row>
    <row r="99" spans="1:41" ht="15.75" customHeight="1">
      <c r="A99" s="100">
        <v>98</v>
      </c>
      <c r="B99" s="100" t="s">
        <v>384</v>
      </c>
      <c r="C99" s="101" t="s">
        <v>141</v>
      </c>
      <c r="D99" s="101" t="s">
        <v>141</v>
      </c>
      <c r="E99" s="101" t="s">
        <v>141</v>
      </c>
      <c r="F99" s="100" t="s">
        <v>141</v>
      </c>
      <c r="G99" s="100" t="s">
        <v>141</v>
      </c>
      <c r="H99" s="100" t="s">
        <v>141</v>
      </c>
      <c r="I99" s="100" t="s">
        <v>385</v>
      </c>
      <c r="J99" s="100" t="s">
        <v>940</v>
      </c>
      <c r="K99" s="100" t="s">
        <v>40</v>
      </c>
      <c r="L99" s="113" t="s">
        <v>379</v>
      </c>
      <c r="M99" s="100" t="s">
        <v>711</v>
      </c>
      <c r="N99" s="100"/>
      <c r="O99" s="102" t="s">
        <v>15</v>
      </c>
      <c r="P99" s="102" t="s">
        <v>15</v>
      </c>
      <c r="Q99" s="102" t="s">
        <v>15</v>
      </c>
      <c r="R99" s="102" t="s">
        <v>15</v>
      </c>
      <c r="S99" s="102" t="s">
        <v>15</v>
      </c>
      <c r="T99" s="102" t="s">
        <v>15</v>
      </c>
      <c r="U99" s="102" t="s">
        <v>15</v>
      </c>
      <c r="V99" s="102" t="s">
        <v>15</v>
      </c>
      <c r="W99" s="102" t="s">
        <v>15</v>
      </c>
      <c r="X99" s="102" t="s">
        <v>15</v>
      </c>
      <c r="Y99" s="102" t="s">
        <v>15</v>
      </c>
      <c r="Z99" s="102" t="s">
        <v>15</v>
      </c>
      <c r="AA99" s="100" t="s">
        <v>141</v>
      </c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</row>
    <row r="100" spans="1:41" ht="15.75" customHeight="1">
      <c r="A100" s="100">
        <v>99</v>
      </c>
      <c r="B100" s="100" t="s">
        <v>386</v>
      </c>
      <c r="C100" s="101" t="s">
        <v>141</v>
      </c>
      <c r="D100" s="101" t="s">
        <v>141</v>
      </c>
      <c r="E100" s="101" t="s">
        <v>141</v>
      </c>
      <c r="F100" s="100" t="s">
        <v>141</v>
      </c>
      <c r="G100" s="100" t="s">
        <v>141</v>
      </c>
      <c r="H100" s="100" t="s">
        <v>141</v>
      </c>
      <c r="I100" s="100" t="s">
        <v>387</v>
      </c>
      <c r="J100" s="100" t="s">
        <v>941</v>
      </c>
      <c r="K100" s="100" t="s">
        <v>40</v>
      </c>
      <c r="L100" s="113" t="s">
        <v>379</v>
      </c>
      <c r="M100" s="100" t="s">
        <v>711</v>
      </c>
      <c r="N100" s="100"/>
      <c r="O100" s="102" t="s">
        <v>15</v>
      </c>
      <c r="P100" s="102" t="s">
        <v>15</v>
      </c>
      <c r="Q100" s="102" t="s">
        <v>15</v>
      </c>
      <c r="R100" s="102" t="s">
        <v>15</v>
      </c>
      <c r="S100" s="102" t="s">
        <v>15</v>
      </c>
      <c r="T100" s="102" t="s">
        <v>15</v>
      </c>
      <c r="U100" s="102" t="s">
        <v>15</v>
      </c>
      <c r="V100" s="102" t="s">
        <v>15</v>
      </c>
      <c r="W100" s="102" t="s">
        <v>15</v>
      </c>
      <c r="X100" s="102" t="s">
        <v>15</v>
      </c>
      <c r="Y100" s="102" t="s">
        <v>15</v>
      </c>
      <c r="Z100" s="102" t="s">
        <v>15</v>
      </c>
      <c r="AA100" s="100" t="s">
        <v>141</v>
      </c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</row>
    <row r="101" spans="1:41" ht="15.75" customHeight="1">
      <c r="A101" s="100">
        <v>100</v>
      </c>
      <c r="B101" s="100" t="s">
        <v>388</v>
      </c>
      <c r="C101" s="101" t="s">
        <v>141</v>
      </c>
      <c r="D101" s="101" t="s">
        <v>141</v>
      </c>
      <c r="E101" s="101" t="s">
        <v>141</v>
      </c>
      <c r="F101" s="100" t="s">
        <v>141</v>
      </c>
      <c r="G101" s="100" t="s">
        <v>141</v>
      </c>
      <c r="H101" s="100" t="s">
        <v>141</v>
      </c>
      <c r="I101" s="100" t="s">
        <v>389</v>
      </c>
      <c r="J101" s="100" t="s">
        <v>942</v>
      </c>
      <c r="K101" s="100" t="s">
        <v>40</v>
      </c>
      <c r="L101" s="100" t="s">
        <v>379</v>
      </c>
      <c r="M101" s="100" t="s">
        <v>711</v>
      </c>
      <c r="N101" s="100"/>
      <c r="O101" s="102" t="s">
        <v>15</v>
      </c>
      <c r="P101" s="102" t="s">
        <v>15</v>
      </c>
      <c r="Q101" s="102" t="s">
        <v>15</v>
      </c>
      <c r="R101" s="102" t="s">
        <v>15</v>
      </c>
      <c r="S101" s="102" t="s">
        <v>15</v>
      </c>
      <c r="T101" s="102" t="s">
        <v>15</v>
      </c>
      <c r="U101" s="102" t="s">
        <v>15</v>
      </c>
      <c r="V101" s="102" t="s">
        <v>15</v>
      </c>
      <c r="W101" s="102" t="s">
        <v>15</v>
      </c>
      <c r="X101" s="102" t="s">
        <v>15</v>
      </c>
      <c r="Y101" s="102" t="s">
        <v>15</v>
      </c>
      <c r="Z101" s="102" t="s">
        <v>15</v>
      </c>
      <c r="AA101" s="100" t="s">
        <v>141</v>
      </c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</row>
    <row r="102" spans="1:41" ht="15.75" customHeight="1">
      <c r="A102" s="100">
        <v>101</v>
      </c>
      <c r="B102" s="100" t="s">
        <v>390</v>
      </c>
      <c r="C102" s="101" t="s">
        <v>141</v>
      </c>
      <c r="D102" s="101" t="s">
        <v>141</v>
      </c>
      <c r="E102" s="101" t="s">
        <v>141</v>
      </c>
      <c r="F102" s="100" t="s">
        <v>141</v>
      </c>
      <c r="G102" s="100" t="s">
        <v>141</v>
      </c>
      <c r="H102" s="100" t="s">
        <v>141</v>
      </c>
      <c r="I102" s="100" t="s">
        <v>391</v>
      </c>
      <c r="J102" s="100" t="s">
        <v>943</v>
      </c>
      <c r="K102" s="100" t="s">
        <v>40</v>
      </c>
      <c r="L102" s="100" t="s">
        <v>379</v>
      </c>
      <c r="M102" s="100" t="s">
        <v>711</v>
      </c>
      <c r="N102" s="100"/>
      <c r="O102" s="102" t="s">
        <v>15</v>
      </c>
      <c r="P102" s="102" t="s">
        <v>15</v>
      </c>
      <c r="Q102" s="102" t="s">
        <v>15</v>
      </c>
      <c r="R102" s="102" t="s">
        <v>15</v>
      </c>
      <c r="S102" s="102" t="s">
        <v>15</v>
      </c>
      <c r="T102" s="102" t="s">
        <v>15</v>
      </c>
      <c r="U102" s="102" t="s">
        <v>15</v>
      </c>
      <c r="V102" s="102" t="s">
        <v>15</v>
      </c>
      <c r="W102" s="102" t="s">
        <v>15</v>
      </c>
      <c r="X102" s="102" t="s">
        <v>15</v>
      </c>
      <c r="Y102" s="102" t="s">
        <v>15</v>
      </c>
      <c r="Z102" s="102" t="s">
        <v>15</v>
      </c>
      <c r="AA102" s="100" t="s">
        <v>141</v>
      </c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</row>
    <row r="103" spans="1:41" ht="15.75" customHeight="1">
      <c r="A103" s="100">
        <v>102</v>
      </c>
      <c r="B103" s="100" t="s">
        <v>392</v>
      </c>
      <c r="C103" s="101" t="s">
        <v>141</v>
      </c>
      <c r="D103" s="101" t="s">
        <v>141</v>
      </c>
      <c r="E103" s="101" t="s">
        <v>141</v>
      </c>
      <c r="F103" s="100" t="s">
        <v>141</v>
      </c>
      <c r="G103" s="100" t="s">
        <v>141</v>
      </c>
      <c r="H103" s="100" t="s">
        <v>134</v>
      </c>
      <c r="I103" s="100" t="s">
        <v>393</v>
      </c>
      <c r="J103" s="100" t="s">
        <v>905</v>
      </c>
      <c r="K103" s="100" t="s">
        <v>394</v>
      </c>
      <c r="L103" s="100" t="s">
        <v>395</v>
      </c>
      <c r="M103" s="100" t="s">
        <v>137</v>
      </c>
      <c r="N103" s="100"/>
      <c r="O103" s="102" t="s">
        <v>15</v>
      </c>
      <c r="P103" s="102" t="s">
        <v>15</v>
      </c>
      <c r="Q103" s="102" t="s">
        <v>15</v>
      </c>
      <c r="R103" s="102" t="s">
        <v>15</v>
      </c>
      <c r="S103" s="102" t="s">
        <v>15</v>
      </c>
      <c r="T103" s="102" t="s">
        <v>15</v>
      </c>
      <c r="U103" s="102" t="s">
        <v>15</v>
      </c>
      <c r="V103" s="102" t="s">
        <v>15</v>
      </c>
      <c r="W103" s="103" t="s">
        <v>41</v>
      </c>
      <c r="X103" s="102" t="s">
        <v>15</v>
      </c>
      <c r="Y103" s="102" t="s">
        <v>15</v>
      </c>
      <c r="Z103" s="102" t="s">
        <v>15</v>
      </c>
      <c r="AA103" s="100" t="s">
        <v>134</v>
      </c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</row>
    <row r="104" spans="1:41" ht="15.75" customHeight="1">
      <c r="A104" s="100">
        <v>103</v>
      </c>
      <c r="B104" s="100" t="s">
        <v>396</v>
      </c>
      <c r="C104" s="101" t="s">
        <v>141</v>
      </c>
      <c r="D104" s="101" t="s">
        <v>141</v>
      </c>
      <c r="E104" s="101" t="s">
        <v>141</v>
      </c>
      <c r="F104" s="100" t="s">
        <v>141</v>
      </c>
      <c r="G104" s="100" t="s">
        <v>134</v>
      </c>
      <c r="H104" s="100" t="s">
        <v>141</v>
      </c>
      <c r="I104" s="100" t="s">
        <v>397</v>
      </c>
      <c r="J104" s="100" t="s">
        <v>908</v>
      </c>
      <c r="K104" s="100" t="s">
        <v>394</v>
      </c>
      <c r="L104" s="100" t="s">
        <v>395</v>
      </c>
      <c r="M104" s="100" t="s">
        <v>137</v>
      </c>
      <c r="N104" s="100"/>
      <c r="O104" s="102" t="s">
        <v>15</v>
      </c>
      <c r="P104" s="102" t="s">
        <v>15</v>
      </c>
      <c r="Q104" s="102" t="s">
        <v>15</v>
      </c>
      <c r="R104" s="102" t="s">
        <v>15</v>
      </c>
      <c r="S104" s="102" t="s">
        <v>15</v>
      </c>
      <c r="T104" s="102" t="s">
        <v>15</v>
      </c>
      <c r="U104" s="102" t="s">
        <v>15</v>
      </c>
      <c r="V104" s="103" t="s">
        <v>41</v>
      </c>
      <c r="W104" s="102" t="s">
        <v>15</v>
      </c>
      <c r="X104" s="102" t="s">
        <v>15</v>
      </c>
      <c r="Y104" s="102" t="s">
        <v>15</v>
      </c>
      <c r="Z104" s="102" t="s">
        <v>15</v>
      </c>
      <c r="AA104" s="100" t="s">
        <v>134</v>
      </c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</row>
    <row r="105" spans="1:41" ht="15.75" customHeight="1">
      <c r="A105" s="100">
        <v>104</v>
      </c>
      <c r="B105" s="100" t="s">
        <v>398</v>
      </c>
      <c r="C105" s="101" t="s">
        <v>141</v>
      </c>
      <c r="D105" s="101" t="s">
        <v>141</v>
      </c>
      <c r="E105" s="101" t="s">
        <v>141</v>
      </c>
      <c r="F105" s="100" t="s">
        <v>141</v>
      </c>
      <c r="G105" s="100" t="s">
        <v>141</v>
      </c>
      <c r="H105" s="100" t="s">
        <v>134</v>
      </c>
      <c r="I105" s="100" t="s">
        <v>399</v>
      </c>
      <c r="J105" s="100" t="s">
        <v>906</v>
      </c>
      <c r="K105" s="100" t="s">
        <v>394</v>
      </c>
      <c r="L105" s="100" t="s">
        <v>395</v>
      </c>
      <c r="M105" s="100" t="s">
        <v>137</v>
      </c>
      <c r="N105" s="100"/>
      <c r="O105" s="102" t="s">
        <v>15</v>
      </c>
      <c r="P105" s="102" t="s">
        <v>15</v>
      </c>
      <c r="Q105" s="102" t="s">
        <v>15</v>
      </c>
      <c r="R105" s="102" t="s">
        <v>15</v>
      </c>
      <c r="S105" s="102" t="s">
        <v>15</v>
      </c>
      <c r="T105" s="102" t="s">
        <v>15</v>
      </c>
      <c r="U105" s="102" t="s">
        <v>15</v>
      </c>
      <c r="V105" s="102" t="s">
        <v>15</v>
      </c>
      <c r="W105" s="103" t="s">
        <v>41</v>
      </c>
      <c r="X105" s="102" t="s">
        <v>15</v>
      </c>
      <c r="Y105" s="102" t="s">
        <v>15</v>
      </c>
      <c r="Z105" s="102" t="s">
        <v>15</v>
      </c>
      <c r="AA105" s="100" t="s">
        <v>134</v>
      </c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</row>
    <row r="106" spans="1:41" ht="15.75" customHeight="1">
      <c r="A106" s="100">
        <v>105</v>
      </c>
      <c r="B106" s="100" t="s">
        <v>400</v>
      </c>
      <c r="C106" s="101" t="s">
        <v>141</v>
      </c>
      <c r="D106" s="101" t="s">
        <v>141</v>
      </c>
      <c r="E106" s="101" t="s">
        <v>141</v>
      </c>
      <c r="F106" s="100" t="s">
        <v>134</v>
      </c>
      <c r="G106" s="100" t="s">
        <v>141</v>
      </c>
      <c r="H106" s="100" t="s">
        <v>141</v>
      </c>
      <c r="I106" s="100" t="s">
        <v>401</v>
      </c>
      <c r="J106" s="100" t="s">
        <v>907</v>
      </c>
      <c r="K106" s="100" t="s">
        <v>394</v>
      </c>
      <c r="L106" s="100" t="s">
        <v>395</v>
      </c>
      <c r="M106" s="100" t="s">
        <v>137</v>
      </c>
      <c r="N106" s="100"/>
      <c r="O106" s="102" t="s">
        <v>15</v>
      </c>
      <c r="P106" s="102" t="s">
        <v>15</v>
      </c>
      <c r="Q106" s="102" t="s">
        <v>15</v>
      </c>
      <c r="R106" s="102" t="s">
        <v>15</v>
      </c>
      <c r="S106" s="102" t="s">
        <v>15</v>
      </c>
      <c r="T106" s="102" t="s">
        <v>15</v>
      </c>
      <c r="U106" s="103" t="s">
        <v>41</v>
      </c>
      <c r="V106" s="102" t="s">
        <v>15</v>
      </c>
      <c r="W106" s="102" t="s">
        <v>15</v>
      </c>
      <c r="X106" s="102" t="s">
        <v>15</v>
      </c>
      <c r="Y106" s="102" t="s">
        <v>15</v>
      </c>
      <c r="Z106" s="102" t="s">
        <v>15</v>
      </c>
      <c r="AA106" s="100" t="s">
        <v>134</v>
      </c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</row>
    <row r="107" spans="1:41" ht="15.75" customHeight="1">
      <c r="A107" s="100">
        <v>106</v>
      </c>
      <c r="B107" s="100" t="s">
        <v>402</v>
      </c>
      <c r="C107" s="101" t="s">
        <v>141</v>
      </c>
      <c r="D107" s="101" t="s">
        <v>134</v>
      </c>
      <c r="E107" s="101" t="s">
        <v>141</v>
      </c>
      <c r="F107" s="100" t="s">
        <v>141</v>
      </c>
      <c r="G107" s="100" t="s">
        <v>141</v>
      </c>
      <c r="H107" s="100" t="s">
        <v>141</v>
      </c>
      <c r="I107" s="100" t="s">
        <v>403</v>
      </c>
      <c r="J107" s="100" t="s">
        <v>944</v>
      </c>
      <c r="K107" s="100" t="s">
        <v>394</v>
      </c>
      <c r="L107" s="100" t="s">
        <v>395</v>
      </c>
      <c r="M107" s="100" t="s">
        <v>137</v>
      </c>
      <c r="N107" s="100"/>
      <c r="O107" s="102" t="s">
        <v>15</v>
      </c>
      <c r="P107" s="102" t="s">
        <v>15</v>
      </c>
      <c r="Q107" s="102" t="s">
        <v>15</v>
      </c>
      <c r="R107" s="102" t="s">
        <v>15</v>
      </c>
      <c r="S107" s="102" t="s">
        <v>15</v>
      </c>
      <c r="T107" s="102" t="s">
        <v>15</v>
      </c>
      <c r="U107" s="102" t="s">
        <v>15</v>
      </c>
      <c r="V107" s="102" t="s">
        <v>15</v>
      </c>
      <c r="W107" s="102" t="s">
        <v>15</v>
      </c>
      <c r="X107" s="102" t="s">
        <v>15</v>
      </c>
      <c r="Y107" s="103" t="s">
        <v>41</v>
      </c>
      <c r="Z107" s="102" t="s">
        <v>15</v>
      </c>
      <c r="AA107" s="100" t="s">
        <v>134</v>
      </c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</row>
    <row r="108" spans="1:41" ht="15.75" customHeight="1">
      <c r="A108" s="100">
        <v>107</v>
      </c>
      <c r="B108" s="100" t="s">
        <v>404</v>
      </c>
      <c r="C108" s="101" t="s">
        <v>134</v>
      </c>
      <c r="D108" s="101" t="s">
        <v>141</v>
      </c>
      <c r="E108" s="101" t="s">
        <v>141</v>
      </c>
      <c r="F108" s="100" t="s">
        <v>141</v>
      </c>
      <c r="G108" s="100" t="s">
        <v>141</v>
      </c>
      <c r="H108" s="100" t="s">
        <v>141</v>
      </c>
      <c r="I108" s="100" t="s">
        <v>405</v>
      </c>
      <c r="J108" s="100" t="s">
        <v>945</v>
      </c>
      <c r="K108" s="100" t="s">
        <v>394</v>
      </c>
      <c r="L108" s="100" t="s">
        <v>395</v>
      </c>
      <c r="M108" s="100" t="s">
        <v>137</v>
      </c>
      <c r="N108" s="100"/>
      <c r="O108" s="102" t="s">
        <v>15</v>
      </c>
      <c r="P108" s="102" t="s">
        <v>15</v>
      </c>
      <c r="Q108" s="102" t="s">
        <v>15</v>
      </c>
      <c r="R108" s="102" t="s">
        <v>15</v>
      </c>
      <c r="S108" s="102" t="s">
        <v>15</v>
      </c>
      <c r="T108" s="102" t="s">
        <v>15</v>
      </c>
      <c r="U108" s="102" t="s">
        <v>15</v>
      </c>
      <c r="V108" s="102" t="s">
        <v>15</v>
      </c>
      <c r="W108" s="102" t="s">
        <v>15</v>
      </c>
      <c r="X108" s="102" t="s">
        <v>15</v>
      </c>
      <c r="Y108" s="102" t="s">
        <v>15</v>
      </c>
      <c r="Z108" s="103" t="s">
        <v>41</v>
      </c>
      <c r="AA108" s="100" t="s">
        <v>134</v>
      </c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</row>
    <row r="109" spans="1:41" ht="15.75" customHeight="1">
      <c r="A109" s="100">
        <v>108</v>
      </c>
      <c r="B109" s="100" t="s">
        <v>406</v>
      </c>
      <c r="C109" s="101" t="s">
        <v>141</v>
      </c>
      <c r="D109" s="101" t="s">
        <v>141</v>
      </c>
      <c r="E109" s="101" t="s">
        <v>134</v>
      </c>
      <c r="F109" s="100" t="s">
        <v>141</v>
      </c>
      <c r="G109" s="100" t="s">
        <v>141</v>
      </c>
      <c r="H109" s="100" t="s">
        <v>141</v>
      </c>
      <c r="I109" s="100" t="s">
        <v>407</v>
      </c>
      <c r="J109" s="100" t="s">
        <v>946</v>
      </c>
      <c r="K109" s="100" t="s">
        <v>394</v>
      </c>
      <c r="L109" s="100" t="s">
        <v>395</v>
      </c>
      <c r="M109" s="100" t="s">
        <v>137</v>
      </c>
      <c r="N109" s="100"/>
      <c r="O109" s="102" t="s">
        <v>15</v>
      </c>
      <c r="P109" s="102" t="s">
        <v>15</v>
      </c>
      <c r="Q109" s="102" t="s">
        <v>15</v>
      </c>
      <c r="R109" s="102" t="s">
        <v>15</v>
      </c>
      <c r="S109" s="102" t="s">
        <v>15</v>
      </c>
      <c r="T109" s="102" t="s">
        <v>15</v>
      </c>
      <c r="U109" s="102" t="s">
        <v>15</v>
      </c>
      <c r="V109" s="102" t="s">
        <v>15</v>
      </c>
      <c r="W109" s="102" t="s">
        <v>15</v>
      </c>
      <c r="X109" s="103" t="s">
        <v>41</v>
      </c>
      <c r="Y109" s="102" t="s">
        <v>15</v>
      </c>
      <c r="Z109" s="102" t="s">
        <v>15</v>
      </c>
      <c r="AA109" s="100" t="s">
        <v>134</v>
      </c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</row>
    <row r="110" spans="1:41" ht="15.75" customHeight="1">
      <c r="A110" s="100">
        <v>109</v>
      </c>
      <c r="B110" s="100" t="s">
        <v>408</v>
      </c>
      <c r="C110" s="101" t="s">
        <v>141</v>
      </c>
      <c r="D110" s="101" t="s">
        <v>141</v>
      </c>
      <c r="E110" s="101" t="s">
        <v>141</v>
      </c>
      <c r="F110" s="100" t="s">
        <v>141</v>
      </c>
      <c r="G110" s="100" t="s">
        <v>141</v>
      </c>
      <c r="H110" s="100" t="s">
        <v>134</v>
      </c>
      <c r="I110" s="100" t="s">
        <v>409</v>
      </c>
      <c r="J110" s="100" t="s">
        <v>947</v>
      </c>
      <c r="K110" s="100" t="s">
        <v>40</v>
      </c>
      <c r="L110" s="100" t="s">
        <v>948</v>
      </c>
      <c r="M110" s="100" t="s">
        <v>137</v>
      </c>
      <c r="N110" s="100"/>
      <c r="O110" s="102" t="s">
        <v>15</v>
      </c>
      <c r="P110" s="102" t="s">
        <v>15</v>
      </c>
      <c r="Q110" s="102" t="s">
        <v>15</v>
      </c>
      <c r="R110" s="102" t="s">
        <v>15</v>
      </c>
      <c r="S110" s="102" t="s">
        <v>15</v>
      </c>
      <c r="T110" s="102" t="s">
        <v>15</v>
      </c>
      <c r="U110" s="102" t="s">
        <v>15</v>
      </c>
      <c r="V110" s="102" t="s">
        <v>15</v>
      </c>
      <c r="W110" s="103" t="s">
        <v>41</v>
      </c>
      <c r="X110" s="102" t="s">
        <v>15</v>
      </c>
      <c r="Y110" s="102" t="s">
        <v>15</v>
      </c>
      <c r="Z110" s="102" t="s">
        <v>15</v>
      </c>
      <c r="AA110" s="100" t="s">
        <v>134</v>
      </c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</row>
    <row r="111" spans="1:41" ht="15.75" customHeight="1">
      <c r="A111" s="100">
        <v>110</v>
      </c>
      <c r="B111" s="100" t="s">
        <v>411</v>
      </c>
      <c r="C111" s="101" t="s">
        <v>141</v>
      </c>
      <c r="D111" s="101" t="s">
        <v>141</v>
      </c>
      <c r="E111" s="101" t="s">
        <v>141</v>
      </c>
      <c r="F111" s="100" t="s">
        <v>141</v>
      </c>
      <c r="G111" s="100" t="s">
        <v>141</v>
      </c>
      <c r="H111" s="100" t="s">
        <v>134</v>
      </c>
      <c r="I111" s="100" t="s">
        <v>412</v>
      </c>
      <c r="J111" s="100" t="s">
        <v>949</v>
      </c>
      <c r="K111" s="100" t="s">
        <v>40</v>
      </c>
      <c r="L111" s="100" t="s">
        <v>948</v>
      </c>
      <c r="M111" s="100" t="s">
        <v>137</v>
      </c>
      <c r="N111" s="100"/>
      <c r="O111" s="102" t="s">
        <v>15</v>
      </c>
      <c r="P111" s="102" t="s">
        <v>15</v>
      </c>
      <c r="Q111" s="102" t="s">
        <v>15</v>
      </c>
      <c r="R111" s="102" t="s">
        <v>15</v>
      </c>
      <c r="S111" s="102" t="s">
        <v>15</v>
      </c>
      <c r="T111" s="102" t="s">
        <v>15</v>
      </c>
      <c r="U111" s="102" t="s">
        <v>15</v>
      </c>
      <c r="V111" s="102" t="s">
        <v>15</v>
      </c>
      <c r="W111" s="103" t="s">
        <v>41</v>
      </c>
      <c r="X111" s="102" t="s">
        <v>15</v>
      </c>
      <c r="Y111" s="102" t="s">
        <v>15</v>
      </c>
      <c r="Z111" s="102" t="s">
        <v>15</v>
      </c>
      <c r="AA111" s="100" t="s">
        <v>134</v>
      </c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</row>
    <row r="112" spans="1:41" ht="15.75" customHeight="1">
      <c r="A112" s="100">
        <v>111</v>
      </c>
      <c r="B112" s="100" t="s">
        <v>413</v>
      </c>
      <c r="C112" s="101" t="s">
        <v>141</v>
      </c>
      <c r="D112" s="101" t="s">
        <v>141</v>
      </c>
      <c r="E112" s="101" t="s">
        <v>141</v>
      </c>
      <c r="F112" s="100" t="s">
        <v>134</v>
      </c>
      <c r="G112" s="100" t="s">
        <v>141</v>
      </c>
      <c r="H112" s="100" t="s">
        <v>141</v>
      </c>
      <c r="I112" s="100" t="s">
        <v>414</v>
      </c>
      <c r="J112" s="100" t="s">
        <v>950</v>
      </c>
      <c r="K112" s="100" t="s">
        <v>40</v>
      </c>
      <c r="L112" s="100" t="s">
        <v>948</v>
      </c>
      <c r="M112" s="100" t="s">
        <v>137</v>
      </c>
      <c r="N112" s="100"/>
      <c r="O112" s="102" t="s">
        <v>15</v>
      </c>
      <c r="P112" s="102" t="s">
        <v>15</v>
      </c>
      <c r="Q112" s="102" t="s">
        <v>15</v>
      </c>
      <c r="R112" s="102" t="s">
        <v>15</v>
      </c>
      <c r="S112" s="102" t="s">
        <v>15</v>
      </c>
      <c r="T112" s="102" t="s">
        <v>15</v>
      </c>
      <c r="U112" s="103" t="s">
        <v>41</v>
      </c>
      <c r="V112" s="102" t="s">
        <v>15</v>
      </c>
      <c r="W112" s="102" t="s">
        <v>15</v>
      </c>
      <c r="X112" s="102" t="s">
        <v>15</v>
      </c>
      <c r="Y112" s="102" t="s">
        <v>15</v>
      </c>
      <c r="Z112" s="102" t="s">
        <v>15</v>
      </c>
      <c r="AA112" s="100" t="s">
        <v>134</v>
      </c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</row>
    <row r="113" spans="1:41" ht="15.75" customHeight="1">
      <c r="A113" s="100">
        <v>112</v>
      </c>
      <c r="B113" s="100" t="s">
        <v>415</v>
      </c>
      <c r="C113" s="101" t="s">
        <v>141</v>
      </c>
      <c r="D113" s="101" t="s">
        <v>141</v>
      </c>
      <c r="E113" s="101" t="s">
        <v>141</v>
      </c>
      <c r="F113" s="100" t="s">
        <v>141</v>
      </c>
      <c r="G113" s="100" t="s">
        <v>134</v>
      </c>
      <c r="H113" s="100" t="s">
        <v>141</v>
      </c>
      <c r="I113" s="100" t="s">
        <v>416</v>
      </c>
      <c r="J113" s="100" t="s">
        <v>951</v>
      </c>
      <c r="K113" s="100" t="s">
        <v>40</v>
      </c>
      <c r="L113" s="100" t="s">
        <v>948</v>
      </c>
      <c r="M113" s="100" t="s">
        <v>137</v>
      </c>
      <c r="N113" s="100"/>
      <c r="O113" s="102" t="s">
        <v>15</v>
      </c>
      <c r="P113" s="102" t="s">
        <v>15</v>
      </c>
      <c r="Q113" s="102" t="s">
        <v>15</v>
      </c>
      <c r="R113" s="102" t="s">
        <v>15</v>
      </c>
      <c r="S113" s="102" t="s">
        <v>15</v>
      </c>
      <c r="T113" s="102" t="s">
        <v>15</v>
      </c>
      <c r="U113" s="102" t="s">
        <v>15</v>
      </c>
      <c r="V113" s="103" t="s">
        <v>41</v>
      </c>
      <c r="W113" s="102" t="s">
        <v>15</v>
      </c>
      <c r="X113" s="102" t="s">
        <v>15</v>
      </c>
      <c r="Y113" s="102" t="s">
        <v>15</v>
      </c>
      <c r="Z113" s="102" t="s">
        <v>15</v>
      </c>
      <c r="AA113" s="100" t="s">
        <v>134</v>
      </c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</row>
    <row r="114" spans="1:41" ht="15.75" customHeight="1">
      <c r="A114" s="100">
        <v>113</v>
      </c>
      <c r="B114" s="100" t="s">
        <v>417</v>
      </c>
      <c r="C114" s="101" t="s">
        <v>141</v>
      </c>
      <c r="D114" s="101" t="s">
        <v>141</v>
      </c>
      <c r="E114" s="101" t="s">
        <v>141</v>
      </c>
      <c r="F114" s="100" t="s">
        <v>141</v>
      </c>
      <c r="G114" s="100" t="s">
        <v>141</v>
      </c>
      <c r="H114" s="100" t="s">
        <v>134</v>
      </c>
      <c r="I114" s="100" t="s">
        <v>418</v>
      </c>
      <c r="J114" s="100" t="s">
        <v>419</v>
      </c>
      <c r="K114" s="100" t="s">
        <v>341</v>
      </c>
      <c r="L114" s="114" t="s">
        <v>410</v>
      </c>
      <c r="M114" s="100" t="s">
        <v>137</v>
      </c>
      <c r="N114" s="100"/>
      <c r="O114" s="102" t="s">
        <v>15</v>
      </c>
      <c r="P114" s="102" t="s">
        <v>15</v>
      </c>
      <c r="Q114" s="102" t="s">
        <v>15</v>
      </c>
      <c r="R114" s="102" t="s">
        <v>15</v>
      </c>
      <c r="S114" s="102" t="s">
        <v>15</v>
      </c>
      <c r="T114" s="102" t="s">
        <v>15</v>
      </c>
      <c r="U114" s="102" t="s">
        <v>15</v>
      </c>
      <c r="V114" s="102" t="s">
        <v>15</v>
      </c>
      <c r="W114" s="103" t="s">
        <v>41</v>
      </c>
      <c r="X114" s="102" t="s">
        <v>15</v>
      </c>
      <c r="Y114" s="102" t="s">
        <v>15</v>
      </c>
      <c r="Z114" s="102" t="s">
        <v>15</v>
      </c>
      <c r="AA114" s="100" t="s">
        <v>134</v>
      </c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</row>
    <row r="115" spans="1:41" ht="15.75" customHeight="1">
      <c r="A115" s="100">
        <v>114</v>
      </c>
      <c r="B115" s="100" t="s">
        <v>420</v>
      </c>
      <c r="C115" s="101" t="s">
        <v>141</v>
      </c>
      <c r="D115" s="101" t="s">
        <v>141</v>
      </c>
      <c r="E115" s="101" t="s">
        <v>141</v>
      </c>
      <c r="F115" s="100" t="s">
        <v>141</v>
      </c>
      <c r="G115" s="100" t="s">
        <v>141</v>
      </c>
      <c r="H115" s="100" t="s">
        <v>134</v>
      </c>
      <c r="I115" s="100" t="s">
        <v>421</v>
      </c>
      <c r="J115" s="100" t="s">
        <v>422</v>
      </c>
      <c r="K115" s="100" t="s">
        <v>341</v>
      </c>
      <c r="L115" s="114" t="s">
        <v>410</v>
      </c>
      <c r="M115" s="100" t="s">
        <v>137</v>
      </c>
      <c r="N115" s="100"/>
      <c r="O115" s="102" t="s">
        <v>15</v>
      </c>
      <c r="P115" s="102" t="s">
        <v>15</v>
      </c>
      <c r="Q115" s="102" t="s">
        <v>15</v>
      </c>
      <c r="R115" s="102" t="s">
        <v>15</v>
      </c>
      <c r="S115" s="102" t="s">
        <v>15</v>
      </c>
      <c r="T115" s="102" t="s">
        <v>15</v>
      </c>
      <c r="U115" s="102" t="s">
        <v>15</v>
      </c>
      <c r="V115" s="102" t="s">
        <v>15</v>
      </c>
      <c r="W115" s="103" t="s">
        <v>41</v>
      </c>
      <c r="X115" s="102" t="s">
        <v>15</v>
      </c>
      <c r="Y115" s="102" t="s">
        <v>15</v>
      </c>
      <c r="Z115" s="102" t="s">
        <v>15</v>
      </c>
      <c r="AA115" s="100" t="s">
        <v>134</v>
      </c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</row>
    <row r="116" spans="1:41" ht="15.75" customHeight="1">
      <c r="A116" s="100">
        <v>115</v>
      </c>
      <c r="B116" s="100" t="s">
        <v>423</v>
      </c>
      <c r="C116" s="101" t="s">
        <v>141</v>
      </c>
      <c r="D116" s="101" t="s">
        <v>141</v>
      </c>
      <c r="E116" s="101" t="s">
        <v>141</v>
      </c>
      <c r="F116" s="100" t="s">
        <v>141</v>
      </c>
      <c r="G116" s="100" t="s">
        <v>141</v>
      </c>
      <c r="H116" s="100" t="s">
        <v>134</v>
      </c>
      <c r="I116" s="100" t="s">
        <v>424</v>
      </c>
      <c r="J116" s="100" t="s">
        <v>425</v>
      </c>
      <c r="K116" s="100" t="s">
        <v>341</v>
      </c>
      <c r="L116" s="114" t="s">
        <v>410</v>
      </c>
      <c r="M116" s="100" t="s">
        <v>137</v>
      </c>
      <c r="N116" s="100"/>
      <c r="O116" s="102" t="s">
        <v>15</v>
      </c>
      <c r="P116" s="102" t="s">
        <v>15</v>
      </c>
      <c r="Q116" s="102" t="s">
        <v>15</v>
      </c>
      <c r="R116" s="102" t="s">
        <v>15</v>
      </c>
      <c r="S116" s="102" t="s">
        <v>15</v>
      </c>
      <c r="T116" s="102" t="s">
        <v>15</v>
      </c>
      <c r="U116" s="102" t="s">
        <v>15</v>
      </c>
      <c r="V116" s="102" t="s">
        <v>15</v>
      </c>
      <c r="W116" s="103" t="s">
        <v>41</v>
      </c>
      <c r="X116" s="102" t="s">
        <v>15</v>
      </c>
      <c r="Y116" s="102" t="s">
        <v>15</v>
      </c>
      <c r="Z116" s="102" t="s">
        <v>15</v>
      </c>
      <c r="AA116" s="100" t="s">
        <v>134</v>
      </c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</row>
    <row r="117" spans="1:41" ht="15.75" customHeight="1">
      <c r="A117" s="100">
        <v>116</v>
      </c>
      <c r="B117" s="100" t="s">
        <v>426</v>
      </c>
      <c r="C117" s="101" t="s">
        <v>141</v>
      </c>
      <c r="D117" s="101" t="s">
        <v>141</v>
      </c>
      <c r="E117" s="101" t="s">
        <v>141</v>
      </c>
      <c r="F117" s="100" t="s">
        <v>141</v>
      </c>
      <c r="G117" s="100" t="s">
        <v>141</v>
      </c>
      <c r="H117" s="100" t="s">
        <v>134</v>
      </c>
      <c r="I117" s="100" t="s">
        <v>427</v>
      </c>
      <c r="J117" s="100" t="s">
        <v>428</v>
      </c>
      <c r="K117" s="100" t="s">
        <v>341</v>
      </c>
      <c r="L117" s="114" t="s">
        <v>410</v>
      </c>
      <c r="M117" s="100" t="s">
        <v>137</v>
      </c>
      <c r="N117" s="100"/>
      <c r="O117" s="102" t="s">
        <v>15</v>
      </c>
      <c r="P117" s="102" t="s">
        <v>15</v>
      </c>
      <c r="Q117" s="102" t="s">
        <v>15</v>
      </c>
      <c r="R117" s="102" t="s">
        <v>15</v>
      </c>
      <c r="S117" s="102" t="s">
        <v>15</v>
      </c>
      <c r="T117" s="102" t="s">
        <v>15</v>
      </c>
      <c r="U117" s="102" t="s">
        <v>15</v>
      </c>
      <c r="V117" s="102" t="s">
        <v>15</v>
      </c>
      <c r="W117" s="103" t="s">
        <v>41</v>
      </c>
      <c r="X117" s="102" t="s">
        <v>15</v>
      </c>
      <c r="Y117" s="102" t="s">
        <v>15</v>
      </c>
      <c r="Z117" s="102" t="s">
        <v>15</v>
      </c>
      <c r="AA117" s="100" t="s">
        <v>134</v>
      </c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</row>
    <row r="118" spans="1:41" ht="15.75" customHeight="1">
      <c r="A118" s="100">
        <v>117</v>
      </c>
      <c r="B118" s="100" t="s">
        <v>429</v>
      </c>
      <c r="C118" s="101" t="s">
        <v>141</v>
      </c>
      <c r="D118" s="101" t="s">
        <v>141</v>
      </c>
      <c r="E118" s="101" t="s">
        <v>141</v>
      </c>
      <c r="F118" s="100" t="s">
        <v>141</v>
      </c>
      <c r="G118" s="100" t="s">
        <v>141</v>
      </c>
      <c r="H118" s="100" t="s">
        <v>134</v>
      </c>
      <c r="I118" s="100" t="s">
        <v>430</v>
      </c>
      <c r="J118" s="100" t="s">
        <v>431</v>
      </c>
      <c r="K118" s="100" t="s">
        <v>341</v>
      </c>
      <c r="L118" s="114" t="s">
        <v>410</v>
      </c>
      <c r="M118" s="100" t="s">
        <v>137</v>
      </c>
      <c r="N118" s="100"/>
      <c r="O118" s="102" t="s">
        <v>15</v>
      </c>
      <c r="P118" s="102" t="s">
        <v>15</v>
      </c>
      <c r="Q118" s="102" t="s">
        <v>15</v>
      </c>
      <c r="R118" s="102" t="s">
        <v>15</v>
      </c>
      <c r="S118" s="102" t="s">
        <v>15</v>
      </c>
      <c r="T118" s="102" t="s">
        <v>15</v>
      </c>
      <c r="U118" s="102" t="s">
        <v>15</v>
      </c>
      <c r="V118" s="102" t="s">
        <v>15</v>
      </c>
      <c r="W118" s="103" t="s">
        <v>41</v>
      </c>
      <c r="X118" s="102" t="s">
        <v>15</v>
      </c>
      <c r="Y118" s="102" t="s">
        <v>15</v>
      </c>
      <c r="Z118" s="102" t="s">
        <v>15</v>
      </c>
      <c r="AA118" s="100" t="s">
        <v>134</v>
      </c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</row>
    <row r="119" spans="1:41" ht="15.75" customHeight="1">
      <c r="A119" s="100">
        <v>118</v>
      </c>
      <c r="B119" s="100" t="s">
        <v>432</v>
      </c>
      <c r="C119" s="101" t="s">
        <v>141</v>
      </c>
      <c r="D119" s="101" t="s">
        <v>141</v>
      </c>
      <c r="E119" s="101" t="s">
        <v>141</v>
      </c>
      <c r="F119" s="100" t="s">
        <v>141</v>
      </c>
      <c r="G119" s="100" t="s">
        <v>141</v>
      </c>
      <c r="H119" s="100" t="s">
        <v>134</v>
      </c>
      <c r="I119" s="100" t="s">
        <v>433</v>
      </c>
      <c r="J119" s="100" t="s">
        <v>434</v>
      </c>
      <c r="K119" s="100" t="s">
        <v>341</v>
      </c>
      <c r="L119" s="114" t="s">
        <v>410</v>
      </c>
      <c r="M119" s="100" t="s">
        <v>137</v>
      </c>
      <c r="N119" s="100"/>
      <c r="O119" s="102" t="s">
        <v>15</v>
      </c>
      <c r="P119" s="102" t="s">
        <v>15</v>
      </c>
      <c r="Q119" s="102" t="s">
        <v>15</v>
      </c>
      <c r="R119" s="102" t="s">
        <v>15</v>
      </c>
      <c r="S119" s="102" t="s">
        <v>15</v>
      </c>
      <c r="T119" s="102" t="s">
        <v>15</v>
      </c>
      <c r="U119" s="102" t="s">
        <v>15</v>
      </c>
      <c r="V119" s="102" t="s">
        <v>15</v>
      </c>
      <c r="W119" s="103" t="s">
        <v>41</v>
      </c>
      <c r="X119" s="102" t="s">
        <v>15</v>
      </c>
      <c r="Y119" s="102" t="s">
        <v>15</v>
      </c>
      <c r="Z119" s="102" t="s">
        <v>15</v>
      </c>
      <c r="AA119" s="100" t="s">
        <v>134</v>
      </c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</row>
    <row r="120" spans="1:41" ht="15.75" customHeight="1">
      <c r="A120" s="100">
        <v>119</v>
      </c>
      <c r="B120" s="100" t="s">
        <v>435</v>
      </c>
      <c r="C120" s="101" t="s">
        <v>141</v>
      </c>
      <c r="D120" s="101" t="s">
        <v>141</v>
      </c>
      <c r="E120" s="101" t="s">
        <v>141</v>
      </c>
      <c r="F120" s="100" t="s">
        <v>141</v>
      </c>
      <c r="G120" s="100" t="s">
        <v>141</v>
      </c>
      <c r="H120" s="100" t="s">
        <v>134</v>
      </c>
      <c r="I120" s="100" t="s">
        <v>436</v>
      </c>
      <c r="J120" s="100" t="s">
        <v>437</v>
      </c>
      <c r="K120" s="100" t="s">
        <v>341</v>
      </c>
      <c r="L120" s="114" t="s">
        <v>410</v>
      </c>
      <c r="M120" s="100" t="s">
        <v>137</v>
      </c>
      <c r="N120" s="100"/>
      <c r="O120" s="102" t="s">
        <v>15</v>
      </c>
      <c r="P120" s="102" t="s">
        <v>15</v>
      </c>
      <c r="Q120" s="102" t="s">
        <v>15</v>
      </c>
      <c r="R120" s="102" t="s">
        <v>15</v>
      </c>
      <c r="S120" s="102" t="s">
        <v>15</v>
      </c>
      <c r="T120" s="102" t="s">
        <v>15</v>
      </c>
      <c r="U120" s="102" t="s">
        <v>15</v>
      </c>
      <c r="V120" s="102" t="s">
        <v>15</v>
      </c>
      <c r="W120" s="103" t="s">
        <v>41</v>
      </c>
      <c r="X120" s="102" t="s">
        <v>15</v>
      </c>
      <c r="Y120" s="102" t="s">
        <v>15</v>
      </c>
      <c r="Z120" s="102" t="s">
        <v>15</v>
      </c>
      <c r="AA120" s="100" t="s">
        <v>134</v>
      </c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</row>
    <row r="121" spans="1:41" ht="15.75" customHeight="1">
      <c r="A121" s="100">
        <v>120</v>
      </c>
      <c r="B121" s="100" t="s">
        <v>438</v>
      </c>
      <c r="C121" s="101" t="s">
        <v>141</v>
      </c>
      <c r="D121" s="101" t="s">
        <v>141</v>
      </c>
      <c r="E121" s="101" t="s">
        <v>141</v>
      </c>
      <c r="F121" s="100" t="s">
        <v>141</v>
      </c>
      <c r="G121" s="100" t="s">
        <v>141</v>
      </c>
      <c r="H121" s="100" t="s">
        <v>134</v>
      </c>
      <c r="I121" s="100" t="s">
        <v>439</v>
      </c>
      <c r="J121" s="100" t="s">
        <v>440</v>
      </c>
      <c r="K121" s="100" t="s">
        <v>341</v>
      </c>
      <c r="L121" s="114" t="s">
        <v>410</v>
      </c>
      <c r="M121" s="100" t="s">
        <v>137</v>
      </c>
      <c r="N121" s="100"/>
      <c r="O121" s="102" t="s">
        <v>15</v>
      </c>
      <c r="P121" s="102" t="s">
        <v>15</v>
      </c>
      <c r="Q121" s="102" t="s">
        <v>15</v>
      </c>
      <c r="R121" s="102" t="s">
        <v>15</v>
      </c>
      <c r="S121" s="102" t="s">
        <v>15</v>
      </c>
      <c r="T121" s="102" t="s">
        <v>15</v>
      </c>
      <c r="U121" s="102" t="s">
        <v>15</v>
      </c>
      <c r="V121" s="102" t="s">
        <v>15</v>
      </c>
      <c r="W121" s="103" t="s">
        <v>41</v>
      </c>
      <c r="X121" s="102" t="s">
        <v>15</v>
      </c>
      <c r="Y121" s="102" t="s">
        <v>15</v>
      </c>
      <c r="Z121" s="102" t="s">
        <v>15</v>
      </c>
      <c r="AA121" s="100" t="s">
        <v>134</v>
      </c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</row>
    <row r="122" spans="1:41" ht="15.75" customHeight="1">
      <c r="A122" s="100">
        <v>121</v>
      </c>
      <c r="B122" s="100" t="s">
        <v>441</v>
      </c>
      <c r="C122" s="101" t="s">
        <v>141</v>
      </c>
      <c r="D122" s="101" t="s">
        <v>141</v>
      </c>
      <c r="E122" s="101" t="s">
        <v>141</v>
      </c>
      <c r="F122" s="100" t="s">
        <v>141</v>
      </c>
      <c r="G122" s="100" t="s">
        <v>141</v>
      </c>
      <c r="H122" s="100" t="s">
        <v>134</v>
      </c>
      <c r="I122" s="100" t="s">
        <v>442</v>
      </c>
      <c r="J122" s="100" t="s">
        <v>443</v>
      </c>
      <c r="K122" s="100" t="s">
        <v>341</v>
      </c>
      <c r="L122" s="114" t="s">
        <v>410</v>
      </c>
      <c r="M122" s="100" t="s">
        <v>137</v>
      </c>
      <c r="N122" s="100"/>
      <c r="O122" s="102" t="s">
        <v>15</v>
      </c>
      <c r="P122" s="102" t="s">
        <v>15</v>
      </c>
      <c r="Q122" s="102" t="s">
        <v>15</v>
      </c>
      <c r="R122" s="102" t="s">
        <v>15</v>
      </c>
      <c r="S122" s="102" t="s">
        <v>15</v>
      </c>
      <c r="T122" s="102" t="s">
        <v>15</v>
      </c>
      <c r="U122" s="102" t="s">
        <v>15</v>
      </c>
      <c r="V122" s="102" t="s">
        <v>15</v>
      </c>
      <c r="W122" s="103" t="s">
        <v>41</v>
      </c>
      <c r="X122" s="102" t="s">
        <v>15</v>
      </c>
      <c r="Y122" s="102" t="s">
        <v>15</v>
      </c>
      <c r="Z122" s="102" t="s">
        <v>15</v>
      </c>
      <c r="AA122" s="100" t="s">
        <v>134</v>
      </c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</row>
    <row r="123" spans="1:41" ht="15.75" customHeight="1">
      <c r="A123" s="100">
        <v>122</v>
      </c>
      <c r="B123" s="100" t="s">
        <v>444</v>
      </c>
      <c r="C123" s="101" t="s">
        <v>141</v>
      </c>
      <c r="D123" s="101" t="s">
        <v>141</v>
      </c>
      <c r="E123" s="101" t="s">
        <v>141</v>
      </c>
      <c r="F123" s="100" t="s">
        <v>141</v>
      </c>
      <c r="G123" s="100" t="s">
        <v>141</v>
      </c>
      <c r="H123" s="100" t="s">
        <v>134</v>
      </c>
      <c r="I123" s="100" t="s">
        <v>445</v>
      </c>
      <c r="J123" s="100" t="s">
        <v>446</v>
      </c>
      <c r="K123" s="100" t="s">
        <v>341</v>
      </c>
      <c r="L123" s="114" t="s">
        <v>410</v>
      </c>
      <c r="M123" s="100" t="s">
        <v>137</v>
      </c>
      <c r="N123" s="100"/>
      <c r="O123" s="102" t="s">
        <v>15</v>
      </c>
      <c r="P123" s="102" t="s">
        <v>15</v>
      </c>
      <c r="Q123" s="102" t="s">
        <v>15</v>
      </c>
      <c r="R123" s="102" t="s">
        <v>15</v>
      </c>
      <c r="S123" s="102" t="s">
        <v>15</v>
      </c>
      <c r="T123" s="102" t="s">
        <v>15</v>
      </c>
      <c r="U123" s="102" t="s">
        <v>15</v>
      </c>
      <c r="V123" s="102" t="s">
        <v>15</v>
      </c>
      <c r="W123" s="103" t="s">
        <v>41</v>
      </c>
      <c r="X123" s="102" t="s">
        <v>15</v>
      </c>
      <c r="Y123" s="102" t="s">
        <v>15</v>
      </c>
      <c r="Z123" s="102" t="s">
        <v>15</v>
      </c>
      <c r="AA123" s="100" t="s">
        <v>134</v>
      </c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</row>
    <row r="124" spans="1:41" ht="15.75" customHeight="1">
      <c r="A124" s="100">
        <v>123</v>
      </c>
      <c r="B124" s="100" t="s">
        <v>447</v>
      </c>
      <c r="C124" s="101" t="s">
        <v>141</v>
      </c>
      <c r="D124" s="101" t="s">
        <v>141</v>
      </c>
      <c r="E124" s="101" t="s">
        <v>141</v>
      </c>
      <c r="F124" s="100" t="s">
        <v>141</v>
      </c>
      <c r="G124" s="100" t="s">
        <v>141</v>
      </c>
      <c r="H124" s="100" t="s">
        <v>134</v>
      </c>
      <c r="I124" s="100" t="s">
        <v>448</v>
      </c>
      <c r="J124" s="100" t="s">
        <v>449</v>
      </c>
      <c r="K124" s="100" t="s">
        <v>341</v>
      </c>
      <c r="L124" s="114" t="s">
        <v>410</v>
      </c>
      <c r="M124" s="100" t="s">
        <v>137</v>
      </c>
      <c r="N124" s="100"/>
      <c r="O124" s="102" t="s">
        <v>15</v>
      </c>
      <c r="P124" s="102" t="s">
        <v>15</v>
      </c>
      <c r="Q124" s="102" t="s">
        <v>15</v>
      </c>
      <c r="R124" s="102" t="s">
        <v>15</v>
      </c>
      <c r="S124" s="102" t="s">
        <v>15</v>
      </c>
      <c r="T124" s="102" t="s">
        <v>15</v>
      </c>
      <c r="U124" s="102" t="s">
        <v>15</v>
      </c>
      <c r="V124" s="102" t="s">
        <v>15</v>
      </c>
      <c r="W124" s="103" t="s">
        <v>41</v>
      </c>
      <c r="X124" s="102" t="s">
        <v>15</v>
      </c>
      <c r="Y124" s="102" t="s">
        <v>15</v>
      </c>
      <c r="Z124" s="102" t="s">
        <v>15</v>
      </c>
      <c r="AA124" s="100" t="s">
        <v>134</v>
      </c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</row>
    <row r="125" spans="1:41" ht="15.75" customHeight="1">
      <c r="A125" s="100">
        <v>124</v>
      </c>
      <c r="B125" s="100" t="s">
        <v>450</v>
      </c>
      <c r="C125" s="101" t="s">
        <v>141</v>
      </c>
      <c r="D125" s="101" t="s">
        <v>141</v>
      </c>
      <c r="E125" s="101" t="s">
        <v>141</v>
      </c>
      <c r="F125" s="100" t="s">
        <v>141</v>
      </c>
      <c r="G125" s="100" t="s">
        <v>141</v>
      </c>
      <c r="H125" s="100" t="s">
        <v>134</v>
      </c>
      <c r="I125" s="100" t="s">
        <v>451</v>
      </c>
      <c r="J125" s="100" t="s">
        <v>452</v>
      </c>
      <c r="K125" s="100" t="s">
        <v>341</v>
      </c>
      <c r="L125" s="114" t="s">
        <v>410</v>
      </c>
      <c r="M125" s="100" t="s">
        <v>137</v>
      </c>
      <c r="N125" s="100"/>
      <c r="O125" s="102" t="s">
        <v>15</v>
      </c>
      <c r="P125" s="102" t="s">
        <v>15</v>
      </c>
      <c r="Q125" s="102" t="s">
        <v>15</v>
      </c>
      <c r="R125" s="102" t="s">
        <v>15</v>
      </c>
      <c r="S125" s="102" t="s">
        <v>15</v>
      </c>
      <c r="T125" s="102" t="s">
        <v>15</v>
      </c>
      <c r="U125" s="102" t="s">
        <v>15</v>
      </c>
      <c r="V125" s="102" t="s">
        <v>15</v>
      </c>
      <c r="W125" s="103" t="s">
        <v>41</v>
      </c>
      <c r="X125" s="102" t="s">
        <v>15</v>
      </c>
      <c r="Y125" s="102" t="s">
        <v>15</v>
      </c>
      <c r="Z125" s="102" t="s">
        <v>15</v>
      </c>
      <c r="AA125" s="100" t="s">
        <v>134</v>
      </c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</row>
    <row r="126" spans="1:41" ht="15.75" customHeight="1">
      <c r="A126" s="100">
        <v>125</v>
      </c>
      <c r="B126" s="100" t="s">
        <v>453</v>
      </c>
      <c r="C126" s="101" t="s">
        <v>141</v>
      </c>
      <c r="D126" s="101" t="s">
        <v>141</v>
      </c>
      <c r="E126" s="101" t="s">
        <v>141</v>
      </c>
      <c r="F126" s="100" t="s">
        <v>141</v>
      </c>
      <c r="G126" s="100" t="s">
        <v>141</v>
      </c>
      <c r="H126" s="100" t="s">
        <v>134</v>
      </c>
      <c r="I126" s="100" t="s">
        <v>454</v>
      </c>
      <c r="J126" s="100" t="s">
        <v>455</v>
      </c>
      <c r="K126" s="100" t="s">
        <v>341</v>
      </c>
      <c r="L126" s="114" t="s">
        <v>410</v>
      </c>
      <c r="M126" s="100" t="s">
        <v>137</v>
      </c>
      <c r="N126" s="100"/>
      <c r="O126" s="102" t="s">
        <v>15</v>
      </c>
      <c r="P126" s="102" t="s">
        <v>15</v>
      </c>
      <c r="Q126" s="102" t="s">
        <v>15</v>
      </c>
      <c r="R126" s="102" t="s">
        <v>15</v>
      </c>
      <c r="S126" s="102" t="s">
        <v>15</v>
      </c>
      <c r="T126" s="102" t="s">
        <v>15</v>
      </c>
      <c r="U126" s="102" t="s">
        <v>15</v>
      </c>
      <c r="V126" s="102" t="s">
        <v>15</v>
      </c>
      <c r="W126" s="103" t="s">
        <v>41</v>
      </c>
      <c r="X126" s="102" t="s">
        <v>15</v>
      </c>
      <c r="Y126" s="102" t="s">
        <v>15</v>
      </c>
      <c r="Z126" s="102" t="s">
        <v>15</v>
      </c>
      <c r="AA126" s="100" t="s">
        <v>134</v>
      </c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</row>
    <row r="127" spans="1:41" ht="15.75" customHeight="1">
      <c r="A127" s="100">
        <v>126</v>
      </c>
      <c r="B127" s="100" t="s">
        <v>456</v>
      </c>
      <c r="C127" s="101" t="s">
        <v>141</v>
      </c>
      <c r="D127" s="101" t="s">
        <v>141</v>
      </c>
      <c r="E127" s="101" t="s">
        <v>141</v>
      </c>
      <c r="F127" s="100" t="s">
        <v>141</v>
      </c>
      <c r="G127" s="100" t="s">
        <v>141</v>
      </c>
      <c r="H127" s="100" t="s">
        <v>134</v>
      </c>
      <c r="I127" s="100" t="s">
        <v>457</v>
      </c>
      <c r="J127" s="100" t="s">
        <v>458</v>
      </c>
      <c r="K127" s="100" t="s">
        <v>341</v>
      </c>
      <c r="L127" s="114" t="s">
        <v>410</v>
      </c>
      <c r="M127" s="100" t="s">
        <v>137</v>
      </c>
      <c r="N127" s="100"/>
      <c r="O127" s="102" t="s">
        <v>15</v>
      </c>
      <c r="P127" s="102" t="s">
        <v>15</v>
      </c>
      <c r="Q127" s="102" t="s">
        <v>15</v>
      </c>
      <c r="R127" s="102" t="s">
        <v>15</v>
      </c>
      <c r="S127" s="102" t="s">
        <v>15</v>
      </c>
      <c r="T127" s="102" t="s">
        <v>15</v>
      </c>
      <c r="U127" s="102" t="s">
        <v>15</v>
      </c>
      <c r="V127" s="102" t="s">
        <v>15</v>
      </c>
      <c r="W127" s="103" t="s">
        <v>41</v>
      </c>
      <c r="X127" s="102" t="s">
        <v>15</v>
      </c>
      <c r="Y127" s="102" t="s">
        <v>15</v>
      </c>
      <c r="Z127" s="102" t="s">
        <v>15</v>
      </c>
      <c r="AA127" s="100" t="s">
        <v>134</v>
      </c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</row>
    <row r="128" spans="1:41" ht="15.75" customHeight="1">
      <c r="A128" s="100">
        <v>127</v>
      </c>
      <c r="B128" s="100" t="s">
        <v>459</v>
      </c>
      <c r="C128" s="101" t="s">
        <v>141</v>
      </c>
      <c r="D128" s="101" t="s">
        <v>141</v>
      </c>
      <c r="E128" s="101" t="s">
        <v>141</v>
      </c>
      <c r="F128" s="100" t="s">
        <v>141</v>
      </c>
      <c r="G128" s="100" t="s">
        <v>134</v>
      </c>
      <c r="H128" s="100" t="s">
        <v>141</v>
      </c>
      <c r="I128" s="100" t="s">
        <v>460</v>
      </c>
      <c r="J128" s="100" t="s">
        <v>461</v>
      </c>
      <c r="K128" s="100" t="s">
        <v>341</v>
      </c>
      <c r="L128" s="114" t="s">
        <v>410</v>
      </c>
      <c r="M128" s="100" t="s">
        <v>137</v>
      </c>
      <c r="N128" s="100"/>
      <c r="O128" s="102" t="s">
        <v>15</v>
      </c>
      <c r="P128" s="102" t="s">
        <v>15</v>
      </c>
      <c r="Q128" s="102" t="s">
        <v>15</v>
      </c>
      <c r="R128" s="102" t="s">
        <v>15</v>
      </c>
      <c r="S128" s="102" t="s">
        <v>15</v>
      </c>
      <c r="T128" s="102" t="s">
        <v>15</v>
      </c>
      <c r="U128" s="102" t="s">
        <v>15</v>
      </c>
      <c r="V128" s="103" t="s">
        <v>41</v>
      </c>
      <c r="W128" s="102" t="s">
        <v>15</v>
      </c>
      <c r="X128" s="102" t="s">
        <v>15</v>
      </c>
      <c r="Y128" s="102" t="s">
        <v>15</v>
      </c>
      <c r="Z128" s="102" t="s">
        <v>15</v>
      </c>
      <c r="AA128" s="100" t="s">
        <v>134</v>
      </c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</row>
    <row r="129" spans="1:41" ht="15.75" customHeight="1">
      <c r="A129" s="100">
        <v>128</v>
      </c>
      <c r="B129" s="100" t="s">
        <v>462</v>
      </c>
      <c r="C129" s="101" t="s">
        <v>141</v>
      </c>
      <c r="D129" s="101" t="s">
        <v>141</v>
      </c>
      <c r="E129" s="101" t="s">
        <v>141</v>
      </c>
      <c r="F129" s="100" t="s">
        <v>141</v>
      </c>
      <c r="G129" s="100" t="s">
        <v>134</v>
      </c>
      <c r="H129" s="100" t="s">
        <v>141</v>
      </c>
      <c r="I129" s="100" t="s">
        <v>463</v>
      </c>
      <c r="J129" s="100" t="s">
        <v>464</v>
      </c>
      <c r="K129" s="100" t="s">
        <v>341</v>
      </c>
      <c r="L129" s="114" t="s">
        <v>410</v>
      </c>
      <c r="M129" s="100" t="s">
        <v>137</v>
      </c>
      <c r="N129" s="100"/>
      <c r="O129" s="102" t="s">
        <v>15</v>
      </c>
      <c r="P129" s="102" t="s">
        <v>15</v>
      </c>
      <c r="Q129" s="102" t="s">
        <v>15</v>
      </c>
      <c r="R129" s="102" t="s">
        <v>15</v>
      </c>
      <c r="S129" s="102" t="s">
        <v>15</v>
      </c>
      <c r="T129" s="102" t="s">
        <v>15</v>
      </c>
      <c r="U129" s="102" t="s">
        <v>15</v>
      </c>
      <c r="V129" s="103" t="s">
        <v>41</v>
      </c>
      <c r="W129" s="102" t="s">
        <v>15</v>
      </c>
      <c r="X129" s="102" t="s">
        <v>15</v>
      </c>
      <c r="Y129" s="102" t="s">
        <v>15</v>
      </c>
      <c r="Z129" s="102" t="s">
        <v>15</v>
      </c>
      <c r="AA129" s="100" t="s">
        <v>134</v>
      </c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</row>
    <row r="130" spans="1:41" ht="15.75" customHeight="1">
      <c r="A130" s="100">
        <v>129</v>
      </c>
      <c r="B130" s="100" t="s">
        <v>465</v>
      </c>
      <c r="C130" s="101" t="s">
        <v>141</v>
      </c>
      <c r="D130" s="101" t="s">
        <v>141</v>
      </c>
      <c r="E130" s="101" t="s">
        <v>141</v>
      </c>
      <c r="F130" s="100" t="s">
        <v>141</v>
      </c>
      <c r="G130" s="100" t="s">
        <v>134</v>
      </c>
      <c r="H130" s="100" t="s">
        <v>141</v>
      </c>
      <c r="I130" s="100" t="s">
        <v>466</v>
      </c>
      <c r="J130" s="100" t="s">
        <v>467</v>
      </c>
      <c r="K130" s="100" t="s">
        <v>341</v>
      </c>
      <c r="L130" s="114" t="s">
        <v>410</v>
      </c>
      <c r="M130" s="100" t="s">
        <v>137</v>
      </c>
      <c r="N130" s="100"/>
      <c r="O130" s="102" t="s">
        <v>15</v>
      </c>
      <c r="P130" s="102" t="s">
        <v>15</v>
      </c>
      <c r="Q130" s="102" t="s">
        <v>15</v>
      </c>
      <c r="R130" s="102" t="s">
        <v>15</v>
      </c>
      <c r="S130" s="102" t="s">
        <v>15</v>
      </c>
      <c r="T130" s="102" t="s">
        <v>15</v>
      </c>
      <c r="U130" s="102" t="s">
        <v>15</v>
      </c>
      <c r="V130" s="103" t="s">
        <v>41</v>
      </c>
      <c r="W130" s="102" t="s">
        <v>15</v>
      </c>
      <c r="X130" s="102" t="s">
        <v>15</v>
      </c>
      <c r="Y130" s="102" t="s">
        <v>15</v>
      </c>
      <c r="Z130" s="102" t="s">
        <v>15</v>
      </c>
      <c r="AA130" s="100" t="s">
        <v>134</v>
      </c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</row>
    <row r="131" spans="1:41" ht="15.75" customHeight="1">
      <c r="A131" s="100">
        <v>130</v>
      </c>
      <c r="B131" s="100" t="s">
        <v>468</v>
      </c>
      <c r="C131" s="101" t="s">
        <v>141</v>
      </c>
      <c r="D131" s="101" t="s">
        <v>141</v>
      </c>
      <c r="E131" s="101" t="s">
        <v>141</v>
      </c>
      <c r="F131" s="100" t="s">
        <v>141</v>
      </c>
      <c r="G131" s="100" t="s">
        <v>134</v>
      </c>
      <c r="H131" s="100" t="s">
        <v>141</v>
      </c>
      <c r="I131" s="100" t="s">
        <v>469</v>
      </c>
      <c r="J131" s="100" t="s">
        <v>470</v>
      </c>
      <c r="K131" s="100" t="s">
        <v>341</v>
      </c>
      <c r="L131" s="114" t="s">
        <v>410</v>
      </c>
      <c r="M131" s="100" t="s">
        <v>137</v>
      </c>
      <c r="N131" s="100"/>
      <c r="O131" s="102" t="s">
        <v>15</v>
      </c>
      <c r="P131" s="102" t="s">
        <v>15</v>
      </c>
      <c r="Q131" s="102" t="s">
        <v>15</v>
      </c>
      <c r="R131" s="102" t="s">
        <v>15</v>
      </c>
      <c r="S131" s="102" t="s">
        <v>15</v>
      </c>
      <c r="T131" s="102" t="s">
        <v>15</v>
      </c>
      <c r="U131" s="102" t="s">
        <v>15</v>
      </c>
      <c r="V131" s="103" t="s">
        <v>41</v>
      </c>
      <c r="W131" s="102" t="s">
        <v>15</v>
      </c>
      <c r="X131" s="102" t="s">
        <v>15</v>
      </c>
      <c r="Y131" s="102" t="s">
        <v>15</v>
      </c>
      <c r="Z131" s="102" t="s">
        <v>15</v>
      </c>
      <c r="AA131" s="100" t="s">
        <v>134</v>
      </c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</row>
    <row r="132" spans="1:41" ht="15.75" customHeight="1">
      <c r="A132" s="100">
        <v>131</v>
      </c>
      <c r="B132" s="100" t="s">
        <v>471</v>
      </c>
      <c r="C132" s="101" t="s">
        <v>141</v>
      </c>
      <c r="D132" s="101" t="s">
        <v>141</v>
      </c>
      <c r="E132" s="101" t="s">
        <v>141</v>
      </c>
      <c r="F132" s="100" t="s">
        <v>141</v>
      </c>
      <c r="G132" s="100" t="s">
        <v>134</v>
      </c>
      <c r="H132" s="100" t="s">
        <v>141</v>
      </c>
      <c r="I132" s="100" t="s">
        <v>472</v>
      </c>
      <c r="J132" s="100" t="s">
        <v>473</v>
      </c>
      <c r="K132" s="100" t="s">
        <v>341</v>
      </c>
      <c r="L132" s="114" t="s">
        <v>410</v>
      </c>
      <c r="M132" s="100" t="s">
        <v>137</v>
      </c>
      <c r="N132" s="100"/>
      <c r="O132" s="102" t="s">
        <v>15</v>
      </c>
      <c r="P132" s="102" t="s">
        <v>15</v>
      </c>
      <c r="Q132" s="102" t="s">
        <v>15</v>
      </c>
      <c r="R132" s="102" t="s">
        <v>15</v>
      </c>
      <c r="S132" s="102" t="s">
        <v>15</v>
      </c>
      <c r="T132" s="102" t="s">
        <v>15</v>
      </c>
      <c r="U132" s="102" t="s">
        <v>15</v>
      </c>
      <c r="V132" s="103" t="s">
        <v>41</v>
      </c>
      <c r="W132" s="102" t="s">
        <v>15</v>
      </c>
      <c r="X132" s="102" t="s">
        <v>15</v>
      </c>
      <c r="Y132" s="102" t="s">
        <v>15</v>
      </c>
      <c r="Z132" s="102" t="s">
        <v>15</v>
      </c>
      <c r="AA132" s="100" t="s">
        <v>134</v>
      </c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</row>
    <row r="133" spans="1:41" ht="15.75" customHeight="1">
      <c r="A133" s="100">
        <v>132</v>
      </c>
      <c r="B133" s="100" t="s">
        <v>474</v>
      </c>
      <c r="C133" s="101" t="s">
        <v>141</v>
      </c>
      <c r="D133" s="101" t="s">
        <v>141</v>
      </c>
      <c r="E133" s="101" t="s">
        <v>141</v>
      </c>
      <c r="F133" s="100" t="s">
        <v>141</v>
      </c>
      <c r="G133" s="100" t="s">
        <v>134</v>
      </c>
      <c r="H133" s="100" t="s">
        <v>141</v>
      </c>
      <c r="I133" s="100" t="s">
        <v>475</v>
      </c>
      <c r="J133" s="100" t="s">
        <v>476</v>
      </c>
      <c r="K133" s="100" t="s">
        <v>341</v>
      </c>
      <c r="L133" s="114" t="s">
        <v>410</v>
      </c>
      <c r="M133" s="100" t="s">
        <v>137</v>
      </c>
      <c r="N133" s="100"/>
      <c r="O133" s="102" t="s">
        <v>15</v>
      </c>
      <c r="P133" s="102" t="s">
        <v>15</v>
      </c>
      <c r="Q133" s="102" t="s">
        <v>15</v>
      </c>
      <c r="R133" s="102" t="s">
        <v>15</v>
      </c>
      <c r="S133" s="102" t="s">
        <v>15</v>
      </c>
      <c r="T133" s="102" t="s">
        <v>15</v>
      </c>
      <c r="U133" s="102" t="s">
        <v>15</v>
      </c>
      <c r="V133" s="103" t="s">
        <v>41</v>
      </c>
      <c r="W133" s="102" t="s">
        <v>15</v>
      </c>
      <c r="X133" s="102" t="s">
        <v>15</v>
      </c>
      <c r="Y133" s="102" t="s">
        <v>15</v>
      </c>
      <c r="Z133" s="102" t="s">
        <v>15</v>
      </c>
      <c r="AA133" s="100" t="s">
        <v>134</v>
      </c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</row>
    <row r="134" spans="1:41" ht="15.75" customHeight="1">
      <c r="A134" s="100">
        <v>133</v>
      </c>
      <c r="B134" s="100" t="s">
        <v>477</v>
      </c>
      <c r="C134" s="101" t="s">
        <v>141</v>
      </c>
      <c r="D134" s="101" t="s">
        <v>141</v>
      </c>
      <c r="E134" s="101" t="s">
        <v>141</v>
      </c>
      <c r="F134" s="100" t="s">
        <v>141</v>
      </c>
      <c r="G134" s="100" t="s">
        <v>134</v>
      </c>
      <c r="H134" s="100" t="s">
        <v>141</v>
      </c>
      <c r="I134" s="100" t="s">
        <v>478</v>
      </c>
      <c r="J134" s="100" t="s">
        <v>479</v>
      </c>
      <c r="K134" s="100" t="s">
        <v>341</v>
      </c>
      <c r="L134" s="114" t="s">
        <v>410</v>
      </c>
      <c r="M134" s="100" t="s">
        <v>137</v>
      </c>
      <c r="N134" s="100"/>
      <c r="O134" s="102" t="s">
        <v>15</v>
      </c>
      <c r="P134" s="102" t="s">
        <v>15</v>
      </c>
      <c r="Q134" s="102" t="s">
        <v>15</v>
      </c>
      <c r="R134" s="102" t="s">
        <v>15</v>
      </c>
      <c r="S134" s="102" t="s">
        <v>15</v>
      </c>
      <c r="T134" s="102" t="s">
        <v>15</v>
      </c>
      <c r="U134" s="102" t="s">
        <v>15</v>
      </c>
      <c r="V134" s="103" t="s">
        <v>41</v>
      </c>
      <c r="W134" s="102" t="s">
        <v>15</v>
      </c>
      <c r="X134" s="102" t="s">
        <v>15</v>
      </c>
      <c r="Y134" s="102" t="s">
        <v>15</v>
      </c>
      <c r="Z134" s="102" t="s">
        <v>15</v>
      </c>
      <c r="AA134" s="100" t="s">
        <v>134</v>
      </c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</row>
    <row r="135" spans="1:41" ht="15.75" customHeight="1">
      <c r="A135" s="100">
        <v>134</v>
      </c>
      <c r="B135" s="100" t="s">
        <v>480</v>
      </c>
      <c r="C135" s="101" t="s">
        <v>141</v>
      </c>
      <c r="D135" s="101" t="s">
        <v>141</v>
      </c>
      <c r="E135" s="101" t="s">
        <v>141</v>
      </c>
      <c r="F135" s="100" t="s">
        <v>141</v>
      </c>
      <c r="G135" s="100" t="s">
        <v>134</v>
      </c>
      <c r="H135" s="100" t="s">
        <v>141</v>
      </c>
      <c r="I135" s="100" t="s">
        <v>481</v>
      </c>
      <c r="J135" s="100" t="s">
        <v>482</v>
      </c>
      <c r="K135" s="100" t="s">
        <v>341</v>
      </c>
      <c r="L135" s="114" t="s">
        <v>410</v>
      </c>
      <c r="M135" s="100" t="s">
        <v>137</v>
      </c>
      <c r="N135" s="100"/>
      <c r="O135" s="102" t="s">
        <v>15</v>
      </c>
      <c r="P135" s="102" t="s">
        <v>15</v>
      </c>
      <c r="Q135" s="102" t="s">
        <v>15</v>
      </c>
      <c r="R135" s="102" t="s">
        <v>15</v>
      </c>
      <c r="S135" s="102" t="s">
        <v>15</v>
      </c>
      <c r="T135" s="102" t="s">
        <v>15</v>
      </c>
      <c r="U135" s="102" t="s">
        <v>15</v>
      </c>
      <c r="V135" s="103" t="s">
        <v>41</v>
      </c>
      <c r="W135" s="102" t="s">
        <v>15</v>
      </c>
      <c r="X135" s="102" t="s">
        <v>15</v>
      </c>
      <c r="Y135" s="102" t="s">
        <v>15</v>
      </c>
      <c r="Z135" s="102" t="s">
        <v>15</v>
      </c>
      <c r="AA135" s="100" t="s">
        <v>134</v>
      </c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</row>
    <row r="136" spans="1:41" ht="15.75" customHeight="1">
      <c r="A136" s="100">
        <v>135</v>
      </c>
      <c r="B136" s="100" t="s">
        <v>483</v>
      </c>
      <c r="C136" s="101" t="s">
        <v>141</v>
      </c>
      <c r="D136" s="101" t="s">
        <v>141</v>
      </c>
      <c r="E136" s="101" t="s">
        <v>141</v>
      </c>
      <c r="F136" s="100" t="s">
        <v>141</v>
      </c>
      <c r="G136" s="100" t="s">
        <v>134</v>
      </c>
      <c r="H136" s="100" t="s">
        <v>141</v>
      </c>
      <c r="I136" s="100" t="s">
        <v>484</v>
      </c>
      <c r="J136" s="100" t="s">
        <v>485</v>
      </c>
      <c r="K136" s="100" t="s">
        <v>341</v>
      </c>
      <c r="L136" s="114" t="s">
        <v>410</v>
      </c>
      <c r="M136" s="100" t="s">
        <v>137</v>
      </c>
      <c r="N136" s="100"/>
      <c r="O136" s="102" t="s">
        <v>15</v>
      </c>
      <c r="P136" s="102" t="s">
        <v>15</v>
      </c>
      <c r="Q136" s="102" t="s">
        <v>15</v>
      </c>
      <c r="R136" s="102" t="s">
        <v>15</v>
      </c>
      <c r="S136" s="102" t="s">
        <v>15</v>
      </c>
      <c r="T136" s="102" t="s">
        <v>15</v>
      </c>
      <c r="U136" s="102" t="s">
        <v>15</v>
      </c>
      <c r="V136" s="103" t="s">
        <v>41</v>
      </c>
      <c r="W136" s="102" t="s">
        <v>15</v>
      </c>
      <c r="X136" s="102" t="s">
        <v>15</v>
      </c>
      <c r="Y136" s="102" t="s">
        <v>15</v>
      </c>
      <c r="Z136" s="102" t="s">
        <v>15</v>
      </c>
      <c r="AA136" s="100" t="s">
        <v>134</v>
      </c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</row>
    <row r="137" spans="1:41" ht="15.75" customHeight="1">
      <c r="A137" s="100">
        <v>136</v>
      </c>
      <c r="B137" s="100" t="s">
        <v>486</v>
      </c>
      <c r="C137" s="101" t="s">
        <v>141</v>
      </c>
      <c r="D137" s="101" t="s">
        <v>141</v>
      </c>
      <c r="E137" s="101" t="s">
        <v>141</v>
      </c>
      <c r="F137" s="100" t="s">
        <v>141</v>
      </c>
      <c r="G137" s="100" t="s">
        <v>134</v>
      </c>
      <c r="H137" s="100" t="s">
        <v>141</v>
      </c>
      <c r="I137" s="100" t="s">
        <v>487</v>
      </c>
      <c r="J137" s="100" t="s">
        <v>488</v>
      </c>
      <c r="K137" s="100" t="s">
        <v>341</v>
      </c>
      <c r="L137" s="114" t="s">
        <v>410</v>
      </c>
      <c r="M137" s="100" t="s">
        <v>137</v>
      </c>
      <c r="N137" s="100"/>
      <c r="O137" s="102" t="s">
        <v>15</v>
      </c>
      <c r="P137" s="102" t="s">
        <v>15</v>
      </c>
      <c r="Q137" s="102" t="s">
        <v>15</v>
      </c>
      <c r="R137" s="102" t="s">
        <v>15</v>
      </c>
      <c r="S137" s="102" t="s">
        <v>15</v>
      </c>
      <c r="T137" s="102" t="s">
        <v>15</v>
      </c>
      <c r="U137" s="102" t="s">
        <v>15</v>
      </c>
      <c r="V137" s="103" t="s">
        <v>41</v>
      </c>
      <c r="W137" s="102" t="s">
        <v>15</v>
      </c>
      <c r="X137" s="102" t="s">
        <v>15</v>
      </c>
      <c r="Y137" s="102" t="s">
        <v>15</v>
      </c>
      <c r="Z137" s="102" t="s">
        <v>15</v>
      </c>
      <c r="AA137" s="100" t="s">
        <v>134</v>
      </c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</row>
    <row r="138" spans="1:41" ht="15.75" customHeight="1">
      <c r="A138" s="100">
        <v>137</v>
      </c>
      <c r="B138" s="100" t="s">
        <v>489</v>
      </c>
      <c r="C138" s="101" t="s">
        <v>141</v>
      </c>
      <c r="D138" s="101" t="s">
        <v>141</v>
      </c>
      <c r="E138" s="101" t="s">
        <v>141</v>
      </c>
      <c r="F138" s="100" t="s">
        <v>141</v>
      </c>
      <c r="G138" s="100" t="s">
        <v>134</v>
      </c>
      <c r="H138" s="100" t="s">
        <v>141</v>
      </c>
      <c r="I138" s="100" t="s">
        <v>490</v>
      </c>
      <c r="J138" s="100" t="s">
        <v>491</v>
      </c>
      <c r="K138" s="100" t="s">
        <v>341</v>
      </c>
      <c r="L138" s="114" t="s">
        <v>410</v>
      </c>
      <c r="M138" s="100" t="s">
        <v>137</v>
      </c>
      <c r="N138" s="100"/>
      <c r="O138" s="102" t="s">
        <v>15</v>
      </c>
      <c r="P138" s="102" t="s">
        <v>15</v>
      </c>
      <c r="Q138" s="102" t="s">
        <v>15</v>
      </c>
      <c r="R138" s="102" t="s">
        <v>15</v>
      </c>
      <c r="S138" s="102" t="s">
        <v>15</v>
      </c>
      <c r="T138" s="102" t="s">
        <v>15</v>
      </c>
      <c r="U138" s="102" t="s">
        <v>15</v>
      </c>
      <c r="V138" s="103" t="s">
        <v>41</v>
      </c>
      <c r="W138" s="102" t="s">
        <v>15</v>
      </c>
      <c r="X138" s="102" t="s">
        <v>15</v>
      </c>
      <c r="Y138" s="102" t="s">
        <v>15</v>
      </c>
      <c r="Z138" s="102" t="s">
        <v>15</v>
      </c>
      <c r="AA138" s="100" t="s">
        <v>134</v>
      </c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</row>
    <row r="139" spans="1:41" ht="15.75" customHeight="1">
      <c r="A139" s="100">
        <v>138</v>
      </c>
      <c r="B139" s="100" t="s">
        <v>492</v>
      </c>
      <c r="C139" s="101" t="s">
        <v>141</v>
      </c>
      <c r="D139" s="101" t="s">
        <v>141</v>
      </c>
      <c r="E139" s="101" t="s">
        <v>141</v>
      </c>
      <c r="F139" s="100" t="s">
        <v>141</v>
      </c>
      <c r="G139" s="100" t="s">
        <v>134</v>
      </c>
      <c r="H139" s="100" t="s">
        <v>141</v>
      </c>
      <c r="I139" s="100" t="s">
        <v>493</v>
      </c>
      <c r="J139" s="100" t="s">
        <v>494</v>
      </c>
      <c r="K139" s="100" t="s">
        <v>341</v>
      </c>
      <c r="L139" s="114" t="s">
        <v>410</v>
      </c>
      <c r="M139" s="100" t="s">
        <v>137</v>
      </c>
      <c r="N139" s="100"/>
      <c r="O139" s="102" t="s">
        <v>15</v>
      </c>
      <c r="P139" s="102" t="s">
        <v>15</v>
      </c>
      <c r="Q139" s="102" t="s">
        <v>15</v>
      </c>
      <c r="R139" s="102" t="s">
        <v>15</v>
      </c>
      <c r="S139" s="102" t="s">
        <v>15</v>
      </c>
      <c r="T139" s="102" t="s">
        <v>15</v>
      </c>
      <c r="U139" s="102" t="s">
        <v>15</v>
      </c>
      <c r="V139" s="103" t="s">
        <v>41</v>
      </c>
      <c r="W139" s="102" t="s">
        <v>15</v>
      </c>
      <c r="X139" s="102" t="s">
        <v>15</v>
      </c>
      <c r="Y139" s="102" t="s">
        <v>15</v>
      </c>
      <c r="Z139" s="102" t="s">
        <v>15</v>
      </c>
      <c r="AA139" s="100" t="s">
        <v>134</v>
      </c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</row>
    <row r="140" spans="1:41" ht="15.75" customHeight="1">
      <c r="A140" s="100">
        <v>139</v>
      </c>
      <c r="B140" s="100" t="s">
        <v>495</v>
      </c>
      <c r="C140" s="101" t="s">
        <v>141</v>
      </c>
      <c r="D140" s="101" t="s">
        <v>141</v>
      </c>
      <c r="E140" s="101" t="s">
        <v>141</v>
      </c>
      <c r="F140" s="100" t="s">
        <v>141</v>
      </c>
      <c r="G140" s="100" t="s">
        <v>134</v>
      </c>
      <c r="H140" s="100" t="s">
        <v>141</v>
      </c>
      <c r="I140" s="100" t="s">
        <v>496</v>
      </c>
      <c r="J140" s="100" t="s">
        <v>497</v>
      </c>
      <c r="K140" s="100" t="s">
        <v>341</v>
      </c>
      <c r="L140" s="114" t="s">
        <v>410</v>
      </c>
      <c r="M140" s="100" t="s">
        <v>137</v>
      </c>
      <c r="N140" s="100"/>
      <c r="O140" s="102" t="s">
        <v>15</v>
      </c>
      <c r="P140" s="102" t="s">
        <v>15</v>
      </c>
      <c r="Q140" s="102" t="s">
        <v>15</v>
      </c>
      <c r="R140" s="102" t="s">
        <v>15</v>
      </c>
      <c r="S140" s="102" t="s">
        <v>15</v>
      </c>
      <c r="T140" s="102" t="s">
        <v>15</v>
      </c>
      <c r="U140" s="102" t="s">
        <v>15</v>
      </c>
      <c r="V140" s="103" t="s">
        <v>41</v>
      </c>
      <c r="W140" s="102" t="s">
        <v>15</v>
      </c>
      <c r="X140" s="102" t="s">
        <v>15</v>
      </c>
      <c r="Y140" s="102" t="s">
        <v>15</v>
      </c>
      <c r="Z140" s="102" t="s">
        <v>15</v>
      </c>
      <c r="AA140" s="100" t="s">
        <v>134</v>
      </c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</row>
    <row r="141" spans="1:41" ht="15.75" customHeight="1">
      <c r="A141" s="100">
        <v>140</v>
      </c>
      <c r="B141" s="100" t="s">
        <v>498</v>
      </c>
      <c r="C141" s="101" t="s">
        <v>141</v>
      </c>
      <c r="D141" s="101" t="s">
        <v>141</v>
      </c>
      <c r="E141" s="101" t="s">
        <v>141</v>
      </c>
      <c r="F141" s="100" t="s">
        <v>141</v>
      </c>
      <c r="G141" s="100" t="s">
        <v>134</v>
      </c>
      <c r="H141" s="100" t="s">
        <v>141</v>
      </c>
      <c r="I141" s="100" t="s">
        <v>499</v>
      </c>
      <c r="J141" s="100" t="s">
        <v>500</v>
      </c>
      <c r="K141" s="100" t="s">
        <v>341</v>
      </c>
      <c r="L141" s="114" t="s">
        <v>410</v>
      </c>
      <c r="M141" s="100" t="s">
        <v>137</v>
      </c>
      <c r="N141" s="100"/>
      <c r="O141" s="102" t="s">
        <v>15</v>
      </c>
      <c r="P141" s="102" t="s">
        <v>15</v>
      </c>
      <c r="Q141" s="102" t="s">
        <v>15</v>
      </c>
      <c r="R141" s="102" t="s">
        <v>15</v>
      </c>
      <c r="S141" s="102" t="s">
        <v>15</v>
      </c>
      <c r="T141" s="102" t="s">
        <v>15</v>
      </c>
      <c r="U141" s="102" t="s">
        <v>15</v>
      </c>
      <c r="V141" s="103" t="s">
        <v>41</v>
      </c>
      <c r="W141" s="102" t="s">
        <v>15</v>
      </c>
      <c r="X141" s="102" t="s">
        <v>15</v>
      </c>
      <c r="Y141" s="102" t="s">
        <v>15</v>
      </c>
      <c r="Z141" s="102" t="s">
        <v>15</v>
      </c>
      <c r="AA141" s="100" t="s">
        <v>134</v>
      </c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</row>
    <row r="142" spans="1:41" ht="15.75" customHeight="1">
      <c r="A142" s="100">
        <v>141</v>
      </c>
      <c r="B142" s="100" t="s">
        <v>501</v>
      </c>
      <c r="C142" s="101" t="s">
        <v>141</v>
      </c>
      <c r="D142" s="101" t="s">
        <v>141</v>
      </c>
      <c r="E142" s="101" t="s">
        <v>141</v>
      </c>
      <c r="F142" s="100" t="s">
        <v>141</v>
      </c>
      <c r="G142" s="100" t="s">
        <v>134</v>
      </c>
      <c r="H142" s="100" t="s">
        <v>141</v>
      </c>
      <c r="I142" s="100" t="s">
        <v>502</v>
      </c>
      <c r="J142" s="100" t="s">
        <v>503</v>
      </c>
      <c r="K142" s="100" t="s">
        <v>341</v>
      </c>
      <c r="L142" s="114" t="s">
        <v>410</v>
      </c>
      <c r="M142" s="100" t="s">
        <v>137</v>
      </c>
      <c r="N142" s="100"/>
      <c r="O142" s="102" t="s">
        <v>15</v>
      </c>
      <c r="P142" s="102" t="s">
        <v>15</v>
      </c>
      <c r="Q142" s="102" t="s">
        <v>15</v>
      </c>
      <c r="R142" s="102" t="s">
        <v>15</v>
      </c>
      <c r="S142" s="102" t="s">
        <v>15</v>
      </c>
      <c r="T142" s="102" t="s">
        <v>15</v>
      </c>
      <c r="U142" s="102" t="s">
        <v>15</v>
      </c>
      <c r="V142" s="103" t="s">
        <v>41</v>
      </c>
      <c r="W142" s="102" t="s">
        <v>15</v>
      </c>
      <c r="X142" s="102" t="s">
        <v>15</v>
      </c>
      <c r="Y142" s="102" t="s">
        <v>15</v>
      </c>
      <c r="Z142" s="102" t="s">
        <v>15</v>
      </c>
      <c r="AA142" s="100" t="s">
        <v>134</v>
      </c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</row>
    <row r="143" spans="1:41" ht="15.75" customHeight="1">
      <c r="A143" s="100">
        <v>142</v>
      </c>
      <c r="B143" s="100" t="s">
        <v>504</v>
      </c>
      <c r="C143" s="101" t="s">
        <v>141</v>
      </c>
      <c r="D143" s="101" t="s">
        <v>141</v>
      </c>
      <c r="E143" s="101" t="s">
        <v>141</v>
      </c>
      <c r="F143" s="100" t="s">
        <v>141</v>
      </c>
      <c r="G143" s="100" t="s">
        <v>134</v>
      </c>
      <c r="H143" s="100" t="s">
        <v>141</v>
      </c>
      <c r="I143" s="100" t="s">
        <v>505</v>
      </c>
      <c r="J143" s="100" t="s">
        <v>506</v>
      </c>
      <c r="K143" s="100" t="s">
        <v>341</v>
      </c>
      <c r="L143" s="114" t="s">
        <v>410</v>
      </c>
      <c r="M143" s="100" t="s">
        <v>137</v>
      </c>
      <c r="N143" s="100"/>
      <c r="O143" s="102" t="s">
        <v>15</v>
      </c>
      <c r="P143" s="102" t="s">
        <v>15</v>
      </c>
      <c r="Q143" s="102" t="s">
        <v>15</v>
      </c>
      <c r="R143" s="102" t="s">
        <v>15</v>
      </c>
      <c r="S143" s="102" t="s">
        <v>15</v>
      </c>
      <c r="T143" s="102" t="s">
        <v>15</v>
      </c>
      <c r="U143" s="102" t="s">
        <v>15</v>
      </c>
      <c r="V143" s="103" t="s">
        <v>41</v>
      </c>
      <c r="W143" s="102" t="s">
        <v>15</v>
      </c>
      <c r="X143" s="102" t="s">
        <v>15</v>
      </c>
      <c r="Y143" s="102" t="s">
        <v>15</v>
      </c>
      <c r="Z143" s="102" t="s">
        <v>15</v>
      </c>
      <c r="AA143" s="100" t="s">
        <v>134</v>
      </c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</row>
    <row r="144" spans="1:41" ht="15.75" customHeight="1">
      <c r="A144" s="100">
        <v>143</v>
      </c>
      <c r="B144" s="100" t="s">
        <v>507</v>
      </c>
      <c r="C144" s="101" t="s">
        <v>141</v>
      </c>
      <c r="D144" s="101" t="s">
        <v>141</v>
      </c>
      <c r="E144" s="101" t="s">
        <v>141</v>
      </c>
      <c r="F144" s="100" t="s">
        <v>141</v>
      </c>
      <c r="G144" s="100" t="s">
        <v>134</v>
      </c>
      <c r="H144" s="100" t="s">
        <v>141</v>
      </c>
      <c r="I144" s="100" t="s">
        <v>508</v>
      </c>
      <c r="J144" s="100" t="s">
        <v>509</v>
      </c>
      <c r="K144" s="100" t="s">
        <v>341</v>
      </c>
      <c r="L144" s="114" t="s">
        <v>410</v>
      </c>
      <c r="M144" s="100" t="s">
        <v>137</v>
      </c>
      <c r="N144" s="100"/>
      <c r="O144" s="102" t="s">
        <v>15</v>
      </c>
      <c r="P144" s="102" t="s">
        <v>15</v>
      </c>
      <c r="Q144" s="102" t="s">
        <v>15</v>
      </c>
      <c r="R144" s="102" t="s">
        <v>15</v>
      </c>
      <c r="S144" s="102" t="s">
        <v>15</v>
      </c>
      <c r="T144" s="102" t="s">
        <v>15</v>
      </c>
      <c r="U144" s="102" t="s">
        <v>15</v>
      </c>
      <c r="V144" s="103" t="s">
        <v>41</v>
      </c>
      <c r="W144" s="102" t="s">
        <v>15</v>
      </c>
      <c r="X144" s="102" t="s">
        <v>15</v>
      </c>
      <c r="Y144" s="102" t="s">
        <v>15</v>
      </c>
      <c r="Z144" s="102" t="s">
        <v>15</v>
      </c>
      <c r="AA144" s="100" t="s">
        <v>134</v>
      </c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</row>
    <row r="145" spans="1:41" ht="15.75" customHeight="1">
      <c r="A145" s="100">
        <v>144</v>
      </c>
      <c r="B145" s="100" t="s">
        <v>510</v>
      </c>
      <c r="C145" s="101" t="s">
        <v>141</v>
      </c>
      <c r="D145" s="101" t="s">
        <v>141</v>
      </c>
      <c r="E145" s="101" t="s">
        <v>141</v>
      </c>
      <c r="F145" s="100" t="s">
        <v>141</v>
      </c>
      <c r="G145" s="100" t="s">
        <v>134</v>
      </c>
      <c r="H145" s="100" t="s">
        <v>141</v>
      </c>
      <c r="I145" s="100" t="s">
        <v>511</v>
      </c>
      <c r="J145" s="100" t="s">
        <v>512</v>
      </c>
      <c r="K145" s="100" t="s">
        <v>341</v>
      </c>
      <c r="L145" s="114" t="s">
        <v>410</v>
      </c>
      <c r="M145" s="100" t="s">
        <v>137</v>
      </c>
      <c r="N145" s="100"/>
      <c r="O145" s="102" t="s">
        <v>15</v>
      </c>
      <c r="P145" s="102" t="s">
        <v>15</v>
      </c>
      <c r="Q145" s="102" t="s">
        <v>15</v>
      </c>
      <c r="R145" s="102" t="s">
        <v>15</v>
      </c>
      <c r="S145" s="102" t="s">
        <v>15</v>
      </c>
      <c r="T145" s="102" t="s">
        <v>15</v>
      </c>
      <c r="U145" s="102" t="s">
        <v>15</v>
      </c>
      <c r="V145" s="103" t="s">
        <v>41</v>
      </c>
      <c r="W145" s="102" t="s">
        <v>15</v>
      </c>
      <c r="X145" s="102" t="s">
        <v>15</v>
      </c>
      <c r="Y145" s="102" t="s">
        <v>15</v>
      </c>
      <c r="Z145" s="102" t="s">
        <v>15</v>
      </c>
      <c r="AA145" s="100" t="s">
        <v>134</v>
      </c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</row>
    <row r="146" spans="1:41" ht="15.75" customHeight="1">
      <c r="A146" s="100">
        <v>145</v>
      </c>
      <c r="B146" s="100" t="s">
        <v>513</v>
      </c>
      <c r="C146" s="101" t="s">
        <v>141</v>
      </c>
      <c r="D146" s="101" t="s">
        <v>141</v>
      </c>
      <c r="E146" s="101" t="s">
        <v>141</v>
      </c>
      <c r="F146" s="100" t="s">
        <v>141</v>
      </c>
      <c r="G146" s="100" t="s">
        <v>134</v>
      </c>
      <c r="H146" s="100" t="s">
        <v>141</v>
      </c>
      <c r="I146" s="100" t="s">
        <v>514</v>
      </c>
      <c r="J146" s="100" t="s">
        <v>515</v>
      </c>
      <c r="K146" s="100" t="s">
        <v>341</v>
      </c>
      <c r="L146" s="114" t="s">
        <v>410</v>
      </c>
      <c r="M146" s="100" t="s">
        <v>137</v>
      </c>
      <c r="N146" s="100"/>
      <c r="O146" s="102" t="s">
        <v>15</v>
      </c>
      <c r="P146" s="102" t="s">
        <v>15</v>
      </c>
      <c r="Q146" s="102" t="s">
        <v>15</v>
      </c>
      <c r="R146" s="102" t="s">
        <v>15</v>
      </c>
      <c r="S146" s="102" t="s">
        <v>15</v>
      </c>
      <c r="T146" s="102" t="s">
        <v>15</v>
      </c>
      <c r="U146" s="102" t="s">
        <v>15</v>
      </c>
      <c r="V146" s="103" t="s">
        <v>41</v>
      </c>
      <c r="W146" s="102" t="s">
        <v>15</v>
      </c>
      <c r="X146" s="102" t="s">
        <v>15</v>
      </c>
      <c r="Y146" s="102" t="s">
        <v>15</v>
      </c>
      <c r="Z146" s="102" t="s">
        <v>15</v>
      </c>
      <c r="AA146" s="100" t="s">
        <v>134</v>
      </c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</row>
    <row r="147" spans="1:41" ht="15.75" customHeight="1">
      <c r="A147" s="100">
        <v>146</v>
      </c>
      <c r="B147" s="100" t="s">
        <v>516</v>
      </c>
      <c r="C147" s="101" t="s">
        <v>141</v>
      </c>
      <c r="D147" s="101" t="s">
        <v>141</v>
      </c>
      <c r="E147" s="101" t="s">
        <v>141</v>
      </c>
      <c r="F147" s="100" t="s">
        <v>141</v>
      </c>
      <c r="G147" s="100" t="s">
        <v>134</v>
      </c>
      <c r="H147" s="100" t="s">
        <v>141</v>
      </c>
      <c r="I147" s="100" t="s">
        <v>517</v>
      </c>
      <c r="J147" s="100" t="s">
        <v>518</v>
      </c>
      <c r="K147" s="100" t="s">
        <v>341</v>
      </c>
      <c r="L147" s="114" t="s">
        <v>410</v>
      </c>
      <c r="M147" s="100" t="s">
        <v>137</v>
      </c>
      <c r="N147" s="100"/>
      <c r="O147" s="102" t="s">
        <v>15</v>
      </c>
      <c r="P147" s="102" t="s">
        <v>15</v>
      </c>
      <c r="Q147" s="102" t="s">
        <v>15</v>
      </c>
      <c r="R147" s="102" t="s">
        <v>15</v>
      </c>
      <c r="S147" s="102" t="s">
        <v>15</v>
      </c>
      <c r="T147" s="102" t="s">
        <v>15</v>
      </c>
      <c r="U147" s="102" t="s">
        <v>15</v>
      </c>
      <c r="V147" s="103" t="s">
        <v>41</v>
      </c>
      <c r="W147" s="102" t="s">
        <v>15</v>
      </c>
      <c r="X147" s="102" t="s">
        <v>15</v>
      </c>
      <c r="Y147" s="102" t="s">
        <v>15</v>
      </c>
      <c r="Z147" s="102" t="s">
        <v>15</v>
      </c>
      <c r="AA147" s="100" t="s">
        <v>134</v>
      </c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</row>
    <row r="148" spans="1:41" ht="15.75" customHeight="1">
      <c r="A148" s="100">
        <v>147</v>
      </c>
      <c r="B148" s="100" t="s">
        <v>519</v>
      </c>
      <c r="C148" s="101" t="s">
        <v>141</v>
      </c>
      <c r="D148" s="101" t="s">
        <v>141</v>
      </c>
      <c r="E148" s="101" t="s">
        <v>141</v>
      </c>
      <c r="F148" s="100" t="s">
        <v>141</v>
      </c>
      <c r="G148" s="100" t="s">
        <v>134</v>
      </c>
      <c r="H148" s="100" t="s">
        <v>141</v>
      </c>
      <c r="I148" s="100" t="s">
        <v>520</v>
      </c>
      <c r="J148" s="100" t="s">
        <v>521</v>
      </c>
      <c r="K148" s="100" t="s">
        <v>341</v>
      </c>
      <c r="L148" s="114" t="s">
        <v>410</v>
      </c>
      <c r="M148" s="100" t="s">
        <v>137</v>
      </c>
      <c r="N148" s="100"/>
      <c r="O148" s="102" t="s">
        <v>15</v>
      </c>
      <c r="P148" s="102" t="s">
        <v>15</v>
      </c>
      <c r="Q148" s="102" t="s">
        <v>15</v>
      </c>
      <c r="R148" s="102" t="s">
        <v>15</v>
      </c>
      <c r="S148" s="102" t="s">
        <v>15</v>
      </c>
      <c r="T148" s="102" t="s">
        <v>15</v>
      </c>
      <c r="U148" s="102" t="s">
        <v>15</v>
      </c>
      <c r="V148" s="103" t="s">
        <v>41</v>
      </c>
      <c r="W148" s="102" t="s">
        <v>15</v>
      </c>
      <c r="X148" s="102" t="s">
        <v>15</v>
      </c>
      <c r="Y148" s="102" t="s">
        <v>15</v>
      </c>
      <c r="Z148" s="102" t="s">
        <v>15</v>
      </c>
      <c r="AA148" s="100" t="s">
        <v>134</v>
      </c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</row>
    <row r="149" spans="1:41" ht="15.75" customHeight="1">
      <c r="A149" s="100">
        <v>148</v>
      </c>
      <c r="B149" s="100" t="s">
        <v>522</v>
      </c>
      <c r="C149" s="101" t="s">
        <v>141</v>
      </c>
      <c r="D149" s="101" t="s">
        <v>141</v>
      </c>
      <c r="E149" s="101" t="s">
        <v>141</v>
      </c>
      <c r="F149" s="100" t="s">
        <v>141</v>
      </c>
      <c r="G149" s="100" t="s">
        <v>134</v>
      </c>
      <c r="H149" s="100" t="s">
        <v>141</v>
      </c>
      <c r="I149" s="100" t="s">
        <v>523</v>
      </c>
      <c r="J149" s="100" t="s">
        <v>524</v>
      </c>
      <c r="K149" s="100" t="s">
        <v>341</v>
      </c>
      <c r="L149" s="114" t="s">
        <v>410</v>
      </c>
      <c r="M149" s="100" t="s">
        <v>137</v>
      </c>
      <c r="N149" s="100"/>
      <c r="O149" s="102" t="s">
        <v>15</v>
      </c>
      <c r="P149" s="102" t="s">
        <v>15</v>
      </c>
      <c r="Q149" s="102" t="s">
        <v>15</v>
      </c>
      <c r="R149" s="102" t="s">
        <v>15</v>
      </c>
      <c r="S149" s="102" t="s">
        <v>15</v>
      </c>
      <c r="T149" s="102" t="s">
        <v>15</v>
      </c>
      <c r="U149" s="102" t="s">
        <v>15</v>
      </c>
      <c r="V149" s="103" t="s">
        <v>41</v>
      </c>
      <c r="W149" s="102" t="s">
        <v>15</v>
      </c>
      <c r="X149" s="102" t="s">
        <v>15</v>
      </c>
      <c r="Y149" s="102" t="s">
        <v>15</v>
      </c>
      <c r="Z149" s="102" t="s">
        <v>15</v>
      </c>
      <c r="AA149" s="100" t="s">
        <v>134</v>
      </c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</row>
    <row r="150" spans="1:41" ht="15.75" customHeight="1">
      <c r="A150" s="100">
        <v>149</v>
      </c>
      <c r="B150" s="100" t="s">
        <v>525</v>
      </c>
      <c r="C150" s="101" t="s">
        <v>141</v>
      </c>
      <c r="D150" s="101" t="s">
        <v>141</v>
      </c>
      <c r="E150" s="101" t="s">
        <v>141</v>
      </c>
      <c r="F150" s="100" t="s">
        <v>141</v>
      </c>
      <c r="G150" s="100" t="s">
        <v>134</v>
      </c>
      <c r="H150" s="100" t="s">
        <v>141</v>
      </c>
      <c r="I150" s="100" t="s">
        <v>526</v>
      </c>
      <c r="J150" s="100" t="s">
        <v>527</v>
      </c>
      <c r="K150" s="100" t="s">
        <v>341</v>
      </c>
      <c r="L150" s="114" t="s">
        <v>410</v>
      </c>
      <c r="M150" s="100" t="s">
        <v>137</v>
      </c>
      <c r="N150" s="100"/>
      <c r="O150" s="102" t="s">
        <v>15</v>
      </c>
      <c r="P150" s="102" t="s">
        <v>15</v>
      </c>
      <c r="Q150" s="102" t="s">
        <v>15</v>
      </c>
      <c r="R150" s="102" t="s">
        <v>15</v>
      </c>
      <c r="S150" s="102" t="s">
        <v>15</v>
      </c>
      <c r="T150" s="102" t="s">
        <v>15</v>
      </c>
      <c r="U150" s="102" t="s">
        <v>15</v>
      </c>
      <c r="V150" s="103" t="s">
        <v>41</v>
      </c>
      <c r="W150" s="102" t="s">
        <v>15</v>
      </c>
      <c r="X150" s="102" t="s">
        <v>15</v>
      </c>
      <c r="Y150" s="102" t="s">
        <v>15</v>
      </c>
      <c r="Z150" s="102" t="s">
        <v>15</v>
      </c>
      <c r="AA150" s="100" t="s">
        <v>134</v>
      </c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</row>
    <row r="151" spans="1:41" ht="15.75" customHeight="1">
      <c r="A151" s="100">
        <v>150</v>
      </c>
      <c r="B151" s="100" t="s">
        <v>528</v>
      </c>
      <c r="C151" s="101" t="s">
        <v>141</v>
      </c>
      <c r="D151" s="101" t="s">
        <v>141</v>
      </c>
      <c r="E151" s="101" t="s">
        <v>141</v>
      </c>
      <c r="F151" s="100" t="s">
        <v>141</v>
      </c>
      <c r="G151" s="100" t="s">
        <v>134</v>
      </c>
      <c r="H151" s="100" t="s">
        <v>141</v>
      </c>
      <c r="I151" s="100" t="s">
        <v>529</v>
      </c>
      <c r="J151" s="100" t="s">
        <v>530</v>
      </c>
      <c r="K151" s="100" t="s">
        <v>341</v>
      </c>
      <c r="L151" s="114" t="s">
        <v>410</v>
      </c>
      <c r="M151" s="100" t="s">
        <v>137</v>
      </c>
      <c r="N151" s="100"/>
      <c r="O151" s="102" t="s">
        <v>15</v>
      </c>
      <c r="P151" s="102" t="s">
        <v>15</v>
      </c>
      <c r="Q151" s="102" t="s">
        <v>15</v>
      </c>
      <c r="R151" s="102" t="s">
        <v>15</v>
      </c>
      <c r="S151" s="102" t="s">
        <v>15</v>
      </c>
      <c r="T151" s="102" t="s">
        <v>15</v>
      </c>
      <c r="U151" s="102" t="s">
        <v>15</v>
      </c>
      <c r="V151" s="103" t="s">
        <v>41</v>
      </c>
      <c r="W151" s="102" t="s">
        <v>15</v>
      </c>
      <c r="X151" s="102" t="s">
        <v>15</v>
      </c>
      <c r="Y151" s="102" t="s">
        <v>15</v>
      </c>
      <c r="Z151" s="102" t="s">
        <v>15</v>
      </c>
      <c r="AA151" s="100" t="s">
        <v>134</v>
      </c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</row>
    <row r="152" spans="1:41" ht="15.75" customHeight="1">
      <c r="A152" s="100">
        <v>151</v>
      </c>
      <c r="B152" s="100" t="s">
        <v>531</v>
      </c>
      <c r="C152" s="101" t="s">
        <v>141</v>
      </c>
      <c r="D152" s="101" t="s">
        <v>141</v>
      </c>
      <c r="E152" s="101" t="s">
        <v>141</v>
      </c>
      <c r="F152" s="100" t="s">
        <v>134</v>
      </c>
      <c r="G152" s="100" t="s">
        <v>141</v>
      </c>
      <c r="H152" s="100" t="s">
        <v>141</v>
      </c>
      <c r="I152" s="100" t="s">
        <v>532</v>
      </c>
      <c r="J152" s="100" t="s">
        <v>533</v>
      </c>
      <c r="K152" s="100" t="s">
        <v>341</v>
      </c>
      <c r="L152" s="114" t="s">
        <v>410</v>
      </c>
      <c r="M152" s="100" t="s">
        <v>137</v>
      </c>
      <c r="N152" s="100"/>
      <c r="O152" s="102" t="s">
        <v>15</v>
      </c>
      <c r="P152" s="102" t="s">
        <v>15</v>
      </c>
      <c r="Q152" s="102" t="s">
        <v>15</v>
      </c>
      <c r="R152" s="102" t="s">
        <v>15</v>
      </c>
      <c r="S152" s="102" t="s">
        <v>15</v>
      </c>
      <c r="T152" s="102" t="s">
        <v>15</v>
      </c>
      <c r="U152" s="103" t="s">
        <v>41</v>
      </c>
      <c r="V152" s="102" t="s">
        <v>15</v>
      </c>
      <c r="W152" s="102" t="s">
        <v>15</v>
      </c>
      <c r="X152" s="102" t="s">
        <v>15</v>
      </c>
      <c r="Y152" s="102" t="s">
        <v>15</v>
      </c>
      <c r="Z152" s="102" t="s">
        <v>15</v>
      </c>
      <c r="AA152" s="100" t="s">
        <v>134</v>
      </c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</row>
    <row r="153" spans="1:41" ht="15.75" customHeight="1">
      <c r="A153" s="100">
        <v>152</v>
      </c>
      <c r="B153" s="100" t="s">
        <v>534</v>
      </c>
      <c r="C153" s="101" t="s">
        <v>141</v>
      </c>
      <c r="D153" s="101" t="s">
        <v>141</v>
      </c>
      <c r="E153" s="101" t="s">
        <v>141</v>
      </c>
      <c r="F153" s="100" t="s">
        <v>134</v>
      </c>
      <c r="G153" s="100" t="s">
        <v>141</v>
      </c>
      <c r="H153" s="100" t="s">
        <v>141</v>
      </c>
      <c r="I153" s="100" t="s">
        <v>535</v>
      </c>
      <c r="J153" s="100" t="s">
        <v>536</v>
      </c>
      <c r="K153" s="100" t="s">
        <v>341</v>
      </c>
      <c r="L153" s="114" t="s">
        <v>410</v>
      </c>
      <c r="M153" s="100" t="s">
        <v>137</v>
      </c>
      <c r="N153" s="100"/>
      <c r="O153" s="102" t="s">
        <v>15</v>
      </c>
      <c r="P153" s="102" t="s">
        <v>15</v>
      </c>
      <c r="Q153" s="102" t="s">
        <v>15</v>
      </c>
      <c r="R153" s="102" t="s">
        <v>15</v>
      </c>
      <c r="S153" s="102" t="s">
        <v>15</v>
      </c>
      <c r="T153" s="102" t="s">
        <v>15</v>
      </c>
      <c r="U153" s="103" t="s">
        <v>41</v>
      </c>
      <c r="V153" s="102" t="s">
        <v>15</v>
      </c>
      <c r="W153" s="102" t="s">
        <v>15</v>
      </c>
      <c r="X153" s="102" t="s">
        <v>15</v>
      </c>
      <c r="Y153" s="102" t="s">
        <v>15</v>
      </c>
      <c r="Z153" s="102" t="s">
        <v>15</v>
      </c>
      <c r="AA153" s="100" t="s">
        <v>134</v>
      </c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</row>
    <row r="154" spans="1:41" ht="15.75" customHeight="1">
      <c r="A154" s="100">
        <v>153</v>
      </c>
      <c r="B154" s="100" t="s">
        <v>537</v>
      </c>
      <c r="C154" s="101" t="s">
        <v>141</v>
      </c>
      <c r="D154" s="101" t="s">
        <v>141</v>
      </c>
      <c r="E154" s="101" t="s">
        <v>141</v>
      </c>
      <c r="F154" s="100" t="s">
        <v>134</v>
      </c>
      <c r="G154" s="100" t="s">
        <v>141</v>
      </c>
      <c r="H154" s="100" t="s">
        <v>141</v>
      </c>
      <c r="I154" s="100" t="s">
        <v>538</v>
      </c>
      <c r="J154" s="100" t="s">
        <v>539</v>
      </c>
      <c r="K154" s="100" t="s">
        <v>341</v>
      </c>
      <c r="L154" s="114" t="s">
        <v>410</v>
      </c>
      <c r="M154" s="100" t="s">
        <v>137</v>
      </c>
      <c r="N154" s="100"/>
      <c r="O154" s="102" t="s">
        <v>15</v>
      </c>
      <c r="P154" s="102" t="s">
        <v>15</v>
      </c>
      <c r="Q154" s="102" t="s">
        <v>15</v>
      </c>
      <c r="R154" s="102" t="s">
        <v>15</v>
      </c>
      <c r="S154" s="102" t="s">
        <v>15</v>
      </c>
      <c r="T154" s="102" t="s">
        <v>15</v>
      </c>
      <c r="U154" s="103" t="s">
        <v>41</v>
      </c>
      <c r="V154" s="102" t="s">
        <v>15</v>
      </c>
      <c r="W154" s="102" t="s">
        <v>15</v>
      </c>
      <c r="X154" s="102" t="s">
        <v>15</v>
      </c>
      <c r="Y154" s="102" t="s">
        <v>15</v>
      </c>
      <c r="Z154" s="102" t="s">
        <v>15</v>
      </c>
      <c r="AA154" s="100" t="s">
        <v>134</v>
      </c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</row>
    <row r="155" spans="1:41" ht="15.75" customHeight="1">
      <c r="A155" s="100">
        <v>154</v>
      </c>
      <c r="B155" s="100" t="s">
        <v>540</v>
      </c>
      <c r="C155" s="101" t="s">
        <v>141</v>
      </c>
      <c r="D155" s="101" t="s">
        <v>141</v>
      </c>
      <c r="E155" s="101" t="s">
        <v>141</v>
      </c>
      <c r="F155" s="100" t="s">
        <v>134</v>
      </c>
      <c r="G155" s="100" t="s">
        <v>141</v>
      </c>
      <c r="H155" s="100" t="s">
        <v>141</v>
      </c>
      <c r="I155" s="100" t="s">
        <v>541</v>
      </c>
      <c r="J155" s="100" t="s">
        <v>542</v>
      </c>
      <c r="K155" s="100" t="s">
        <v>341</v>
      </c>
      <c r="L155" s="114" t="s">
        <v>410</v>
      </c>
      <c r="M155" s="100" t="s">
        <v>137</v>
      </c>
      <c r="N155" s="100"/>
      <c r="O155" s="102" t="s">
        <v>15</v>
      </c>
      <c r="P155" s="102" t="s">
        <v>15</v>
      </c>
      <c r="Q155" s="102" t="s">
        <v>15</v>
      </c>
      <c r="R155" s="102" t="s">
        <v>15</v>
      </c>
      <c r="S155" s="102" t="s">
        <v>15</v>
      </c>
      <c r="T155" s="102" t="s">
        <v>15</v>
      </c>
      <c r="U155" s="103" t="s">
        <v>41</v>
      </c>
      <c r="V155" s="102" t="s">
        <v>15</v>
      </c>
      <c r="W155" s="102" t="s">
        <v>15</v>
      </c>
      <c r="X155" s="102" t="s">
        <v>15</v>
      </c>
      <c r="Y155" s="102" t="s">
        <v>15</v>
      </c>
      <c r="Z155" s="102" t="s">
        <v>15</v>
      </c>
      <c r="AA155" s="100" t="s">
        <v>134</v>
      </c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</row>
    <row r="156" spans="1:41" ht="15.75" customHeight="1">
      <c r="A156" s="100">
        <v>155</v>
      </c>
      <c r="B156" s="100" t="s">
        <v>543</v>
      </c>
      <c r="C156" s="101" t="s">
        <v>141</v>
      </c>
      <c r="D156" s="101" t="s">
        <v>141</v>
      </c>
      <c r="E156" s="101" t="s">
        <v>134</v>
      </c>
      <c r="F156" s="100" t="s">
        <v>141</v>
      </c>
      <c r="G156" s="100" t="s">
        <v>141</v>
      </c>
      <c r="H156" s="100" t="s">
        <v>141</v>
      </c>
      <c r="I156" s="100" t="s">
        <v>544</v>
      </c>
      <c r="J156" s="100" t="s">
        <v>545</v>
      </c>
      <c r="K156" s="100" t="s">
        <v>341</v>
      </c>
      <c r="L156" s="114" t="s">
        <v>410</v>
      </c>
      <c r="M156" s="100" t="s">
        <v>137</v>
      </c>
      <c r="N156" s="100"/>
      <c r="O156" s="102" t="s">
        <v>15</v>
      </c>
      <c r="P156" s="102" t="s">
        <v>15</v>
      </c>
      <c r="Q156" s="102" t="s">
        <v>15</v>
      </c>
      <c r="R156" s="102" t="s">
        <v>15</v>
      </c>
      <c r="S156" s="102" t="s">
        <v>15</v>
      </c>
      <c r="T156" s="102" t="s">
        <v>15</v>
      </c>
      <c r="U156" s="102" t="s">
        <v>15</v>
      </c>
      <c r="V156" s="102" t="s">
        <v>15</v>
      </c>
      <c r="W156" s="102" t="s">
        <v>15</v>
      </c>
      <c r="X156" s="103" t="s">
        <v>41</v>
      </c>
      <c r="Y156" s="102" t="s">
        <v>15</v>
      </c>
      <c r="Z156" s="102" t="s">
        <v>15</v>
      </c>
      <c r="AA156" s="100" t="s">
        <v>134</v>
      </c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</row>
    <row r="157" spans="1:41" ht="15.75" customHeight="1">
      <c r="A157" s="100">
        <v>156</v>
      </c>
      <c r="B157" s="100" t="s">
        <v>546</v>
      </c>
      <c r="C157" s="101" t="s">
        <v>141</v>
      </c>
      <c r="D157" s="101" t="s">
        <v>141</v>
      </c>
      <c r="E157" s="101" t="s">
        <v>134</v>
      </c>
      <c r="F157" s="100" t="s">
        <v>141</v>
      </c>
      <c r="G157" s="100" t="s">
        <v>141</v>
      </c>
      <c r="H157" s="100" t="s">
        <v>141</v>
      </c>
      <c r="I157" s="100" t="s">
        <v>547</v>
      </c>
      <c r="J157" s="100" t="s">
        <v>548</v>
      </c>
      <c r="K157" s="100" t="s">
        <v>341</v>
      </c>
      <c r="L157" s="114" t="s">
        <v>410</v>
      </c>
      <c r="M157" s="100" t="s">
        <v>137</v>
      </c>
      <c r="N157" s="100"/>
      <c r="O157" s="102" t="s">
        <v>15</v>
      </c>
      <c r="P157" s="102" t="s">
        <v>15</v>
      </c>
      <c r="Q157" s="102" t="s">
        <v>15</v>
      </c>
      <c r="R157" s="102" t="s">
        <v>15</v>
      </c>
      <c r="S157" s="102" t="s">
        <v>15</v>
      </c>
      <c r="T157" s="102" t="s">
        <v>15</v>
      </c>
      <c r="U157" s="102" t="s">
        <v>15</v>
      </c>
      <c r="V157" s="102" t="s">
        <v>15</v>
      </c>
      <c r="W157" s="102" t="s">
        <v>15</v>
      </c>
      <c r="X157" s="103" t="s">
        <v>41</v>
      </c>
      <c r="Y157" s="102" t="s">
        <v>15</v>
      </c>
      <c r="Z157" s="102" t="s">
        <v>15</v>
      </c>
      <c r="AA157" s="100" t="s">
        <v>134</v>
      </c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</row>
    <row r="158" spans="1:41" ht="15.75" customHeight="1">
      <c r="A158" s="100">
        <v>157</v>
      </c>
      <c r="B158" s="100" t="s">
        <v>549</v>
      </c>
      <c r="C158" s="101" t="s">
        <v>141</v>
      </c>
      <c r="D158" s="101" t="s">
        <v>141</v>
      </c>
      <c r="E158" s="101" t="s">
        <v>134</v>
      </c>
      <c r="F158" s="100" t="s">
        <v>141</v>
      </c>
      <c r="G158" s="100" t="s">
        <v>141</v>
      </c>
      <c r="H158" s="100" t="s">
        <v>141</v>
      </c>
      <c r="I158" s="100" t="s">
        <v>550</v>
      </c>
      <c r="J158" s="100" t="s">
        <v>551</v>
      </c>
      <c r="K158" s="100" t="s">
        <v>341</v>
      </c>
      <c r="L158" s="114" t="s">
        <v>410</v>
      </c>
      <c r="M158" s="100" t="s">
        <v>137</v>
      </c>
      <c r="N158" s="100"/>
      <c r="O158" s="102" t="s">
        <v>15</v>
      </c>
      <c r="P158" s="102" t="s">
        <v>15</v>
      </c>
      <c r="Q158" s="102" t="s">
        <v>15</v>
      </c>
      <c r="R158" s="102" t="s">
        <v>15</v>
      </c>
      <c r="S158" s="102" t="s">
        <v>15</v>
      </c>
      <c r="T158" s="102" t="s">
        <v>15</v>
      </c>
      <c r="U158" s="102" t="s">
        <v>15</v>
      </c>
      <c r="V158" s="102" t="s">
        <v>15</v>
      </c>
      <c r="W158" s="102" t="s">
        <v>15</v>
      </c>
      <c r="X158" s="103" t="s">
        <v>41</v>
      </c>
      <c r="Y158" s="102" t="s">
        <v>15</v>
      </c>
      <c r="Z158" s="102" t="s">
        <v>15</v>
      </c>
      <c r="AA158" s="100" t="s">
        <v>134</v>
      </c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</row>
    <row r="159" spans="1:41" ht="15.75" customHeight="1">
      <c r="A159" s="100">
        <v>158</v>
      </c>
      <c r="B159" s="100" t="s">
        <v>552</v>
      </c>
      <c r="C159" s="101" t="s">
        <v>141</v>
      </c>
      <c r="D159" s="101" t="s">
        <v>141</v>
      </c>
      <c r="E159" s="101" t="s">
        <v>134</v>
      </c>
      <c r="F159" s="100" t="s">
        <v>141</v>
      </c>
      <c r="G159" s="100" t="s">
        <v>141</v>
      </c>
      <c r="H159" s="100" t="s">
        <v>141</v>
      </c>
      <c r="I159" s="100" t="s">
        <v>553</v>
      </c>
      <c r="J159" s="100" t="s">
        <v>554</v>
      </c>
      <c r="K159" s="100" t="s">
        <v>341</v>
      </c>
      <c r="L159" s="114" t="s">
        <v>410</v>
      </c>
      <c r="M159" s="100" t="s">
        <v>137</v>
      </c>
      <c r="N159" s="100"/>
      <c r="O159" s="102" t="s">
        <v>15</v>
      </c>
      <c r="P159" s="102" t="s">
        <v>15</v>
      </c>
      <c r="Q159" s="102" t="s">
        <v>15</v>
      </c>
      <c r="R159" s="102" t="s">
        <v>15</v>
      </c>
      <c r="S159" s="102" t="s">
        <v>15</v>
      </c>
      <c r="T159" s="102" t="s">
        <v>15</v>
      </c>
      <c r="U159" s="102" t="s">
        <v>15</v>
      </c>
      <c r="V159" s="102" t="s">
        <v>15</v>
      </c>
      <c r="W159" s="102" t="s">
        <v>15</v>
      </c>
      <c r="X159" s="103" t="s">
        <v>41</v>
      </c>
      <c r="Y159" s="102" t="s">
        <v>15</v>
      </c>
      <c r="Z159" s="102" t="s">
        <v>15</v>
      </c>
      <c r="AA159" s="100" t="s">
        <v>134</v>
      </c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</row>
    <row r="160" spans="1:41" ht="15.75" customHeight="1">
      <c r="A160" s="100">
        <v>159</v>
      </c>
      <c r="B160" s="100" t="s">
        <v>555</v>
      </c>
      <c r="C160" s="101" t="s">
        <v>141</v>
      </c>
      <c r="D160" s="101" t="s">
        <v>141</v>
      </c>
      <c r="E160" s="101" t="s">
        <v>134</v>
      </c>
      <c r="F160" s="100" t="s">
        <v>141</v>
      </c>
      <c r="G160" s="100" t="s">
        <v>141</v>
      </c>
      <c r="H160" s="100" t="s">
        <v>141</v>
      </c>
      <c r="I160" s="100" t="s">
        <v>556</v>
      </c>
      <c r="J160" s="100" t="s">
        <v>557</v>
      </c>
      <c r="K160" s="100" t="s">
        <v>341</v>
      </c>
      <c r="L160" s="114" t="s">
        <v>410</v>
      </c>
      <c r="M160" s="100" t="s">
        <v>137</v>
      </c>
      <c r="N160" s="100"/>
      <c r="O160" s="102" t="s">
        <v>15</v>
      </c>
      <c r="P160" s="102" t="s">
        <v>15</v>
      </c>
      <c r="Q160" s="102" t="s">
        <v>15</v>
      </c>
      <c r="R160" s="102" t="s">
        <v>15</v>
      </c>
      <c r="S160" s="102" t="s">
        <v>15</v>
      </c>
      <c r="T160" s="102" t="s">
        <v>15</v>
      </c>
      <c r="U160" s="102" t="s">
        <v>15</v>
      </c>
      <c r="V160" s="102" t="s">
        <v>15</v>
      </c>
      <c r="W160" s="102" t="s">
        <v>15</v>
      </c>
      <c r="X160" s="103" t="s">
        <v>41</v>
      </c>
      <c r="Y160" s="102" t="s">
        <v>15</v>
      </c>
      <c r="Z160" s="102" t="s">
        <v>15</v>
      </c>
      <c r="AA160" s="100" t="s">
        <v>134</v>
      </c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</row>
    <row r="161" spans="1:41" ht="15.75" customHeight="1">
      <c r="A161" s="100">
        <v>160</v>
      </c>
      <c r="B161" s="100" t="s">
        <v>558</v>
      </c>
      <c r="C161" s="101" t="s">
        <v>141</v>
      </c>
      <c r="D161" s="101" t="s">
        <v>141</v>
      </c>
      <c r="E161" s="101" t="s">
        <v>134</v>
      </c>
      <c r="F161" s="100" t="s">
        <v>141</v>
      </c>
      <c r="G161" s="100" t="s">
        <v>141</v>
      </c>
      <c r="H161" s="100" t="s">
        <v>141</v>
      </c>
      <c r="I161" s="100" t="s">
        <v>559</v>
      </c>
      <c r="J161" s="100" t="s">
        <v>560</v>
      </c>
      <c r="K161" s="100" t="s">
        <v>341</v>
      </c>
      <c r="L161" s="114" t="s">
        <v>410</v>
      </c>
      <c r="M161" s="100" t="s">
        <v>137</v>
      </c>
      <c r="N161" s="100"/>
      <c r="O161" s="102" t="s">
        <v>15</v>
      </c>
      <c r="P161" s="102" t="s">
        <v>15</v>
      </c>
      <c r="Q161" s="102" t="s">
        <v>15</v>
      </c>
      <c r="R161" s="102" t="s">
        <v>15</v>
      </c>
      <c r="S161" s="102" t="s">
        <v>15</v>
      </c>
      <c r="T161" s="102" t="s">
        <v>15</v>
      </c>
      <c r="U161" s="102" t="s">
        <v>15</v>
      </c>
      <c r="V161" s="102" t="s">
        <v>15</v>
      </c>
      <c r="W161" s="102" t="s">
        <v>15</v>
      </c>
      <c r="X161" s="103" t="s">
        <v>41</v>
      </c>
      <c r="Y161" s="102" t="s">
        <v>15</v>
      </c>
      <c r="Z161" s="102" t="s">
        <v>15</v>
      </c>
      <c r="AA161" s="100" t="s">
        <v>134</v>
      </c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</row>
    <row r="162" spans="1:41" ht="15.75" customHeight="1">
      <c r="A162" s="100">
        <v>161</v>
      </c>
      <c r="B162" s="100" t="s">
        <v>561</v>
      </c>
      <c r="C162" s="101" t="s">
        <v>141</v>
      </c>
      <c r="D162" s="101" t="s">
        <v>141</v>
      </c>
      <c r="E162" s="101" t="s">
        <v>134</v>
      </c>
      <c r="F162" s="100" t="s">
        <v>141</v>
      </c>
      <c r="G162" s="100" t="s">
        <v>141</v>
      </c>
      <c r="H162" s="100" t="s">
        <v>141</v>
      </c>
      <c r="I162" s="100" t="s">
        <v>562</v>
      </c>
      <c r="J162" s="100" t="s">
        <v>563</v>
      </c>
      <c r="K162" s="100" t="s">
        <v>341</v>
      </c>
      <c r="L162" s="114" t="s">
        <v>410</v>
      </c>
      <c r="M162" s="100" t="s">
        <v>137</v>
      </c>
      <c r="N162" s="100"/>
      <c r="O162" s="102" t="s">
        <v>15</v>
      </c>
      <c r="P162" s="102" t="s">
        <v>15</v>
      </c>
      <c r="Q162" s="102" t="s">
        <v>15</v>
      </c>
      <c r="R162" s="102" t="s">
        <v>15</v>
      </c>
      <c r="S162" s="102" t="s">
        <v>15</v>
      </c>
      <c r="T162" s="102" t="s">
        <v>15</v>
      </c>
      <c r="U162" s="102" t="s">
        <v>15</v>
      </c>
      <c r="V162" s="102" t="s">
        <v>15</v>
      </c>
      <c r="W162" s="102" t="s">
        <v>15</v>
      </c>
      <c r="X162" s="103" t="s">
        <v>41</v>
      </c>
      <c r="Y162" s="102" t="s">
        <v>15</v>
      </c>
      <c r="Z162" s="102" t="s">
        <v>15</v>
      </c>
      <c r="AA162" s="100" t="s">
        <v>134</v>
      </c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</row>
    <row r="163" spans="1:41" ht="15.75" customHeight="1">
      <c r="A163" s="100">
        <v>162</v>
      </c>
      <c r="B163" s="100" t="s">
        <v>564</v>
      </c>
      <c r="C163" s="101" t="s">
        <v>141</v>
      </c>
      <c r="D163" s="101" t="s">
        <v>141</v>
      </c>
      <c r="E163" s="101" t="s">
        <v>134</v>
      </c>
      <c r="F163" s="100" t="s">
        <v>141</v>
      </c>
      <c r="G163" s="100" t="s">
        <v>141</v>
      </c>
      <c r="H163" s="100" t="s">
        <v>141</v>
      </c>
      <c r="I163" s="100" t="s">
        <v>565</v>
      </c>
      <c r="J163" s="100" t="s">
        <v>566</v>
      </c>
      <c r="K163" s="100" t="s">
        <v>341</v>
      </c>
      <c r="L163" s="114" t="s">
        <v>410</v>
      </c>
      <c r="M163" s="100" t="s">
        <v>137</v>
      </c>
      <c r="N163" s="100"/>
      <c r="O163" s="102" t="s">
        <v>15</v>
      </c>
      <c r="P163" s="102" t="s">
        <v>15</v>
      </c>
      <c r="Q163" s="102" t="s">
        <v>15</v>
      </c>
      <c r="R163" s="102" t="s">
        <v>15</v>
      </c>
      <c r="S163" s="102" t="s">
        <v>15</v>
      </c>
      <c r="T163" s="102" t="s">
        <v>15</v>
      </c>
      <c r="U163" s="102" t="s">
        <v>15</v>
      </c>
      <c r="V163" s="102" t="s">
        <v>15</v>
      </c>
      <c r="W163" s="102" t="s">
        <v>15</v>
      </c>
      <c r="X163" s="103" t="s">
        <v>41</v>
      </c>
      <c r="Y163" s="102" t="s">
        <v>15</v>
      </c>
      <c r="Z163" s="102" t="s">
        <v>15</v>
      </c>
      <c r="AA163" s="100" t="s">
        <v>134</v>
      </c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</row>
    <row r="164" spans="1:41" ht="15.75" customHeight="1">
      <c r="A164" s="100">
        <v>163</v>
      </c>
      <c r="B164" s="100" t="s">
        <v>567</v>
      </c>
      <c r="C164" s="101" t="s">
        <v>141</v>
      </c>
      <c r="D164" s="101" t="s">
        <v>141</v>
      </c>
      <c r="E164" s="101" t="s">
        <v>134</v>
      </c>
      <c r="F164" s="100" t="s">
        <v>141</v>
      </c>
      <c r="G164" s="100" t="s">
        <v>141</v>
      </c>
      <c r="H164" s="100" t="s">
        <v>141</v>
      </c>
      <c r="I164" s="100" t="s">
        <v>568</v>
      </c>
      <c r="J164" s="100" t="s">
        <v>569</v>
      </c>
      <c r="K164" s="100" t="s">
        <v>341</v>
      </c>
      <c r="L164" s="114" t="s">
        <v>410</v>
      </c>
      <c r="M164" s="100" t="s">
        <v>137</v>
      </c>
      <c r="N164" s="100"/>
      <c r="O164" s="102" t="s">
        <v>15</v>
      </c>
      <c r="P164" s="102" t="s">
        <v>15</v>
      </c>
      <c r="Q164" s="102" t="s">
        <v>15</v>
      </c>
      <c r="R164" s="102" t="s">
        <v>15</v>
      </c>
      <c r="S164" s="102" t="s">
        <v>15</v>
      </c>
      <c r="T164" s="102" t="s">
        <v>15</v>
      </c>
      <c r="U164" s="102" t="s">
        <v>15</v>
      </c>
      <c r="V164" s="102" t="s">
        <v>15</v>
      </c>
      <c r="W164" s="102" t="s">
        <v>15</v>
      </c>
      <c r="X164" s="103" t="s">
        <v>41</v>
      </c>
      <c r="Y164" s="102" t="s">
        <v>15</v>
      </c>
      <c r="Z164" s="102" t="s">
        <v>15</v>
      </c>
      <c r="AA164" s="100" t="s">
        <v>134</v>
      </c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</row>
    <row r="165" spans="1:41" ht="15.75" customHeight="1">
      <c r="A165" s="100">
        <v>164</v>
      </c>
      <c r="B165" s="100" t="s">
        <v>570</v>
      </c>
      <c r="C165" s="101" t="s">
        <v>141</v>
      </c>
      <c r="D165" s="101" t="s">
        <v>141</v>
      </c>
      <c r="E165" s="101" t="s">
        <v>134</v>
      </c>
      <c r="F165" s="100" t="s">
        <v>141</v>
      </c>
      <c r="G165" s="100" t="s">
        <v>141</v>
      </c>
      <c r="H165" s="100" t="s">
        <v>141</v>
      </c>
      <c r="I165" s="100" t="s">
        <v>571</v>
      </c>
      <c r="J165" s="100" t="s">
        <v>572</v>
      </c>
      <c r="K165" s="100" t="s">
        <v>341</v>
      </c>
      <c r="L165" s="114" t="s">
        <v>410</v>
      </c>
      <c r="M165" s="100" t="s">
        <v>137</v>
      </c>
      <c r="N165" s="100"/>
      <c r="O165" s="102" t="s">
        <v>15</v>
      </c>
      <c r="P165" s="102" t="s">
        <v>15</v>
      </c>
      <c r="Q165" s="102" t="s">
        <v>15</v>
      </c>
      <c r="R165" s="102" t="s">
        <v>15</v>
      </c>
      <c r="S165" s="102" t="s">
        <v>15</v>
      </c>
      <c r="T165" s="102" t="s">
        <v>15</v>
      </c>
      <c r="U165" s="102" t="s">
        <v>15</v>
      </c>
      <c r="V165" s="102" t="s">
        <v>15</v>
      </c>
      <c r="W165" s="102" t="s">
        <v>15</v>
      </c>
      <c r="X165" s="103" t="s">
        <v>41</v>
      </c>
      <c r="Y165" s="102" t="s">
        <v>15</v>
      </c>
      <c r="Z165" s="102" t="s">
        <v>15</v>
      </c>
      <c r="AA165" s="100" t="s">
        <v>134</v>
      </c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</row>
    <row r="166" spans="1:41" ht="15.75" customHeight="1">
      <c r="A166" s="100">
        <v>165</v>
      </c>
      <c r="B166" s="100" t="s">
        <v>573</v>
      </c>
      <c r="C166" s="101" t="s">
        <v>141</v>
      </c>
      <c r="D166" s="101" t="s">
        <v>141</v>
      </c>
      <c r="E166" s="101" t="s">
        <v>134</v>
      </c>
      <c r="F166" s="100" t="s">
        <v>141</v>
      </c>
      <c r="G166" s="100" t="s">
        <v>141</v>
      </c>
      <c r="H166" s="100" t="s">
        <v>141</v>
      </c>
      <c r="I166" s="100" t="s">
        <v>574</v>
      </c>
      <c r="J166" s="100" t="s">
        <v>575</v>
      </c>
      <c r="K166" s="100" t="s">
        <v>341</v>
      </c>
      <c r="L166" s="114" t="s">
        <v>410</v>
      </c>
      <c r="M166" s="100" t="s">
        <v>137</v>
      </c>
      <c r="N166" s="100"/>
      <c r="O166" s="102" t="s">
        <v>15</v>
      </c>
      <c r="P166" s="102" t="s">
        <v>15</v>
      </c>
      <c r="Q166" s="102" t="s">
        <v>15</v>
      </c>
      <c r="R166" s="102" t="s">
        <v>15</v>
      </c>
      <c r="S166" s="102" t="s">
        <v>15</v>
      </c>
      <c r="T166" s="102" t="s">
        <v>15</v>
      </c>
      <c r="U166" s="102" t="s">
        <v>15</v>
      </c>
      <c r="V166" s="102" t="s">
        <v>15</v>
      </c>
      <c r="W166" s="102" t="s">
        <v>15</v>
      </c>
      <c r="X166" s="103" t="s">
        <v>41</v>
      </c>
      <c r="Y166" s="102" t="s">
        <v>15</v>
      </c>
      <c r="Z166" s="102" t="s">
        <v>15</v>
      </c>
      <c r="AA166" s="100" t="s">
        <v>134</v>
      </c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</row>
    <row r="167" spans="1:41" ht="15.75" customHeight="1">
      <c r="A167" s="100">
        <v>166</v>
      </c>
      <c r="B167" s="100" t="s">
        <v>576</v>
      </c>
      <c r="C167" s="101" t="s">
        <v>141</v>
      </c>
      <c r="D167" s="101" t="s">
        <v>141</v>
      </c>
      <c r="E167" s="101" t="s">
        <v>134</v>
      </c>
      <c r="F167" s="100" t="s">
        <v>141</v>
      </c>
      <c r="G167" s="100" t="s">
        <v>141</v>
      </c>
      <c r="H167" s="100" t="s">
        <v>141</v>
      </c>
      <c r="I167" s="100" t="s">
        <v>577</v>
      </c>
      <c r="J167" s="100" t="s">
        <v>578</v>
      </c>
      <c r="K167" s="100" t="s">
        <v>341</v>
      </c>
      <c r="L167" s="114" t="s">
        <v>410</v>
      </c>
      <c r="M167" s="100" t="s">
        <v>137</v>
      </c>
      <c r="N167" s="100"/>
      <c r="O167" s="102" t="s">
        <v>15</v>
      </c>
      <c r="P167" s="102" t="s">
        <v>15</v>
      </c>
      <c r="Q167" s="102" t="s">
        <v>15</v>
      </c>
      <c r="R167" s="102" t="s">
        <v>15</v>
      </c>
      <c r="S167" s="102" t="s">
        <v>15</v>
      </c>
      <c r="T167" s="102" t="s">
        <v>15</v>
      </c>
      <c r="U167" s="102" t="s">
        <v>15</v>
      </c>
      <c r="V167" s="102" t="s">
        <v>15</v>
      </c>
      <c r="W167" s="102" t="s">
        <v>15</v>
      </c>
      <c r="X167" s="103" t="s">
        <v>41</v>
      </c>
      <c r="Y167" s="102" t="s">
        <v>15</v>
      </c>
      <c r="Z167" s="102" t="s">
        <v>15</v>
      </c>
      <c r="AA167" s="100" t="s">
        <v>134</v>
      </c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</row>
    <row r="168" spans="1:41" ht="15.75" customHeight="1">
      <c r="A168" s="100">
        <v>167</v>
      </c>
      <c r="B168" s="100" t="s">
        <v>579</v>
      </c>
      <c r="C168" s="101" t="s">
        <v>141</v>
      </c>
      <c r="D168" s="101" t="s">
        <v>141</v>
      </c>
      <c r="E168" s="101" t="s">
        <v>134</v>
      </c>
      <c r="F168" s="100" t="s">
        <v>141</v>
      </c>
      <c r="G168" s="100" t="s">
        <v>141</v>
      </c>
      <c r="H168" s="100" t="s">
        <v>141</v>
      </c>
      <c r="I168" s="100" t="s">
        <v>580</v>
      </c>
      <c r="J168" s="100" t="s">
        <v>581</v>
      </c>
      <c r="K168" s="100" t="s">
        <v>341</v>
      </c>
      <c r="L168" s="114" t="s">
        <v>410</v>
      </c>
      <c r="M168" s="100" t="s">
        <v>137</v>
      </c>
      <c r="N168" s="100"/>
      <c r="O168" s="102" t="s">
        <v>15</v>
      </c>
      <c r="P168" s="102" t="s">
        <v>15</v>
      </c>
      <c r="Q168" s="102" t="s">
        <v>15</v>
      </c>
      <c r="R168" s="102" t="s">
        <v>15</v>
      </c>
      <c r="S168" s="102" t="s">
        <v>15</v>
      </c>
      <c r="T168" s="102" t="s">
        <v>15</v>
      </c>
      <c r="U168" s="102" t="s">
        <v>15</v>
      </c>
      <c r="V168" s="102" t="s">
        <v>15</v>
      </c>
      <c r="W168" s="102" t="s">
        <v>15</v>
      </c>
      <c r="X168" s="103" t="s">
        <v>41</v>
      </c>
      <c r="Y168" s="102" t="s">
        <v>15</v>
      </c>
      <c r="Z168" s="102" t="s">
        <v>15</v>
      </c>
      <c r="AA168" s="100" t="s">
        <v>134</v>
      </c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</row>
    <row r="169" spans="1:41" ht="15.75" customHeight="1">
      <c r="A169" s="100">
        <v>168</v>
      </c>
      <c r="B169" s="100" t="s">
        <v>582</v>
      </c>
      <c r="C169" s="101" t="s">
        <v>141</v>
      </c>
      <c r="D169" s="101" t="s">
        <v>141</v>
      </c>
      <c r="E169" s="101" t="s">
        <v>134</v>
      </c>
      <c r="F169" s="100" t="s">
        <v>141</v>
      </c>
      <c r="G169" s="100" t="s">
        <v>141</v>
      </c>
      <c r="H169" s="100" t="s">
        <v>141</v>
      </c>
      <c r="I169" s="100" t="s">
        <v>583</v>
      </c>
      <c r="J169" s="100" t="s">
        <v>584</v>
      </c>
      <c r="K169" s="100" t="s">
        <v>341</v>
      </c>
      <c r="L169" s="114" t="s">
        <v>410</v>
      </c>
      <c r="M169" s="100" t="s">
        <v>137</v>
      </c>
      <c r="N169" s="100"/>
      <c r="O169" s="102" t="s">
        <v>15</v>
      </c>
      <c r="P169" s="102" t="s">
        <v>15</v>
      </c>
      <c r="Q169" s="102" t="s">
        <v>15</v>
      </c>
      <c r="R169" s="102" t="s">
        <v>15</v>
      </c>
      <c r="S169" s="102" t="s">
        <v>15</v>
      </c>
      <c r="T169" s="102" t="s">
        <v>15</v>
      </c>
      <c r="U169" s="102" t="s">
        <v>15</v>
      </c>
      <c r="V169" s="102" t="s">
        <v>15</v>
      </c>
      <c r="W169" s="102" t="s">
        <v>15</v>
      </c>
      <c r="X169" s="103" t="s">
        <v>41</v>
      </c>
      <c r="Y169" s="102" t="s">
        <v>15</v>
      </c>
      <c r="Z169" s="102" t="s">
        <v>15</v>
      </c>
      <c r="AA169" s="100" t="s">
        <v>134</v>
      </c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</row>
    <row r="170" spans="1:41" ht="15.75" customHeight="1">
      <c r="A170" s="100">
        <v>169</v>
      </c>
      <c r="B170" s="100" t="s">
        <v>585</v>
      </c>
      <c r="C170" s="101" t="s">
        <v>141</v>
      </c>
      <c r="D170" s="101" t="s">
        <v>134</v>
      </c>
      <c r="E170" s="101" t="s">
        <v>141</v>
      </c>
      <c r="F170" s="100" t="s">
        <v>141</v>
      </c>
      <c r="G170" s="100" t="s">
        <v>141</v>
      </c>
      <c r="H170" s="100" t="s">
        <v>141</v>
      </c>
      <c r="I170" s="100" t="s">
        <v>586</v>
      </c>
      <c r="J170" s="100" t="s">
        <v>587</v>
      </c>
      <c r="K170" s="100" t="s">
        <v>341</v>
      </c>
      <c r="L170" s="114" t="s">
        <v>410</v>
      </c>
      <c r="M170" s="100" t="s">
        <v>137</v>
      </c>
      <c r="N170" s="100"/>
      <c r="O170" s="102" t="s">
        <v>15</v>
      </c>
      <c r="P170" s="102" t="s">
        <v>15</v>
      </c>
      <c r="Q170" s="102" t="s">
        <v>15</v>
      </c>
      <c r="R170" s="102" t="s">
        <v>15</v>
      </c>
      <c r="S170" s="102" t="s">
        <v>15</v>
      </c>
      <c r="T170" s="102" t="s">
        <v>15</v>
      </c>
      <c r="U170" s="102" t="s">
        <v>15</v>
      </c>
      <c r="V170" s="102" t="s">
        <v>15</v>
      </c>
      <c r="W170" s="102" t="s">
        <v>15</v>
      </c>
      <c r="X170" s="102" t="s">
        <v>15</v>
      </c>
      <c r="Y170" s="103" t="s">
        <v>41</v>
      </c>
      <c r="Z170" s="102" t="s">
        <v>15</v>
      </c>
      <c r="AA170" s="100" t="s">
        <v>134</v>
      </c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</row>
    <row r="171" spans="1:41" ht="15.75" customHeight="1">
      <c r="A171" s="100">
        <v>170</v>
      </c>
      <c r="B171" s="100" t="s">
        <v>588</v>
      </c>
      <c r="C171" s="101" t="s">
        <v>141</v>
      </c>
      <c r="D171" s="101" t="s">
        <v>134</v>
      </c>
      <c r="E171" s="101" t="s">
        <v>141</v>
      </c>
      <c r="F171" s="100" t="s">
        <v>141</v>
      </c>
      <c r="G171" s="100" t="s">
        <v>141</v>
      </c>
      <c r="H171" s="100" t="s">
        <v>141</v>
      </c>
      <c r="I171" s="100" t="s">
        <v>589</v>
      </c>
      <c r="J171" s="100" t="s">
        <v>590</v>
      </c>
      <c r="K171" s="100" t="s">
        <v>341</v>
      </c>
      <c r="L171" s="114" t="s">
        <v>410</v>
      </c>
      <c r="M171" s="100" t="s">
        <v>137</v>
      </c>
      <c r="N171" s="100"/>
      <c r="O171" s="102" t="s">
        <v>15</v>
      </c>
      <c r="P171" s="102" t="s">
        <v>15</v>
      </c>
      <c r="Q171" s="102" t="s">
        <v>15</v>
      </c>
      <c r="R171" s="102" t="s">
        <v>15</v>
      </c>
      <c r="S171" s="102" t="s">
        <v>15</v>
      </c>
      <c r="T171" s="102" t="s">
        <v>15</v>
      </c>
      <c r="U171" s="102" t="s">
        <v>15</v>
      </c>
      <c r="V171" s="102" t="s">
        <v>15</v>
      </c>
      <c r="W171" s="102" t="s">
        <v>15</v>
      </c>
      <c r="X171" s="102" t="s">
        <v>15</v>
      </c>
      <c r="Y171" s="103" t="s">
        <v>41</v>
      </c>
      <c r="Z171" s="102" t="s">
        <v>15</v>
      </c>
      <c r="AA171" s="100" t="s">
        <v>134</v>
      </c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</row>
    <row r="172" spans="1:41" ht="15.75" customHeight="1">
      <c r="A172" s="100">
        <v>171</v>
      </c>
      <c r="B172" s="100" t="s">
        <v>591</v>
      </c>
      <c r="C172" s="101" t="s">
        <v>141</v>
      </c>
      <c r="D172" s="101" t="s">
        <v>134</v>
      </c>
      <c r="E172" s="101" t="s">
        <v>141</v>
      </c>
      <c r="F172" s="100" t="s">
        <v>141</v>
      </c>
      <c r="G172" s="100" t="s">
        <v>141</v>
      </c>
      <c r="H172" s="100" t="s">
        <v>141</v>
      </c>
      <c r="I172" s="100" t="s">
        <v>592</v>
      </c>
      <c r="J172" s="100" t="s">
        <v>593</v>
      </c>
      <c r="K172" s="100" t="s">
        <v>341</v>
      </c>
      <c r="L172" s="114" t="s">
        <v>410</v>
      </c>
      <c r="M172" s="100" t="s">
        <v>137</v>
      </c>
      <c r="N172" s="100"/>
      <c r="O172" s="102" t="s">
        <v>15</v>
      </c>
      <c r="P172" s="102" t="s">
        <v>15</v>
      </c>
      <c r="Q172" s="102" t="s">
        <v>15</v>
      </c>
      <c r="R172" s="102" t="s">
        <v>15</v>
      </c>
      <c r="S172" s="102" t="s">
        <v>15</v>
      </c>
      <c r="T172" s="102" t="s">
        <v>15</v>
      </c>
      <c r="U172" s="102" t="s">
        <v>15</v>
      </c>
      <c r="V172" s="102" t="s">
        <v>15</v>
      </c>
      <c r="W172" s="102" t="s">
        <v>15</v>
      </c>
      <c r="X172" s="102" t="s">
        <v>15</v>
      </c>
      <c r="Y172" s="103" t="s">
        <v>41</v>
      </c>
      <c r="Z172" s="102" t="s">
        <v>15</v>
      </c>
      <c r="AA172" s="100" t="s">
        <v>134</v>
      </c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</row>
    <row r="173" spans="1:41" ht="15.75" customHeight="1">
      <c r="A173" s="100">
        <v>172</v>
      </c>
      <c r="B173" s="100" t="s">
        <v>594</v>
      </c>
      <c r="C173" s="101" t="s">
        <v>141</v>
      </c>
      <c r="D173" s="101" t="s">
        <v>134</v>
      </c>
      <c r="E173" s="101" t="s">
        <v>141</v>
      </c>
      <c r="F173" s="100" t="s">
        <v>141</v>
      </c>
      <c r="G173" s="100" t="s">
        <v>141</v>
      </c>
      <c r="H173" s="100" t="s">
        <v>141</v>
      </c>
      <c r="I173" s="100" t="s">
        <v>595</v>
      </c>
      <c r="J173" s="100" t="s">
        <v>596</v>
      </c>
      <c r="K173" s="100" t="s">
        <v>341</v>
      </c>
      <c r="L173" s="114" t="s">
        <v>410</v>
      </c>
      <c r="M173" s="100" t="s">
        <v>137</v>
      </c>
      <c r="N173" s="100"/>
      <c r="O173" s="102" t="s">
        <v>15</v>
      </c>
      <c r="P173" s="102" t="s">
        <v>15</v>
      </c>
      <c r="Q173" s="102" t="s">
        <v>15</v>
      </c>
      <c r="R173" s="102" t="s">
        <v>15</v>
      </c>
      <c r="S173" s="102" t="s">
        <v>15</v>
      </c>
      <c r="T173" s="102" t="s">
        <v>15</v>
      </c>
      <c r="U173" s="102" t="s">
        <v>15</v>
      </c>
      <c r="V173" s="102" t="s">
        <v>15</v>
      </c>
      <c r="W173" s="102" t="s">
        <v>15</v>
      </c>
      <c r="X173" s="102" t="s">
        <v>15</v>
      </c>
      <c r="Y173" s="103" t="s">
        <v>41</v>
      </c>
      <c r="Z173" s="102" t="s">
        <v>15</v>
      </c>
      <c r="AA173" s="100" t="s">
        <v>134</v>
      </c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</row>
    <row r="174" spans="1:41" ht="15.75" customHeight="1">
      <c r="A174" s="100">
        <v>173</v>
      </c>
      <c r="B174" s="100" t="s">
        <v>597</v>
      </c>
      <c r="C174" s="101" t="s">
        <v>141</v>
      </c>
      <c r="D174" s="101" t="s">
        <v>134</v>
      </c>
      <c r="E174" s="101" t="s">
        <v>141</v>
      </c>
      <c r="F174" s="100" t="s">
        <v>141</v>
      </c>
      <c r="G174" s="100" t="s">
        <v>141</v>
      </c>
      <c r="H174" s="100" t="s">
        <v>141</v>
      </c>
      <c r="I174" s="100" t="s">
        <v>598</v>
      </c>
      <c r="J174" s="100" t="s">
        <v>599</v>
      </c>
      <c r="K174" s="100" t="s">
        <v>341</v>
      </c>
      <c r="L174" s="114" t="s">
        <v>410</v>
      </c>
      <c r="M174" s="100" t="s">
        <v>137</v>
      </c>
      <c r="N174" s="100"/>
      <c r="O174" s="102" t="s">
        <v>15</v>
      </c>
      <c r="P174" s="102" t="s">
        <v>15</v>
      </c>
      <c r="Q174" s="102" t="s">
        <v>15</v>
      </c>
      <c r="R174" s="102" t="s">
        <v>15</v>
      </c>
      <c r="S174" s="102" t="s">
        <v>15</v>
      </c>
      <c r="T174" s="102" t="s">
        <v>15</v>
      </c>
      <c r="U174" s="102" t="s">
        <v>15</v>
      </c>
      <c r="V174" s="102" t="s">
        <v>15</v>
      </c>
      <c r="W174" s="102" t="s">
        <v>15</v>
      </c>
      <c r="X174" s="102" t="s">
        <v>15</v>
      </c>
      <c r="Y174" s="103" t="s">
        <v>41</v>
      </c>
      <c r="Z174" s="102" t="s">
        <v>15</v>
      </c>
      <c r="AA174" s="100" t="s">
        <v>134</v>
      </c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</row>
    <row r="175" spans="1:41" ht="15.75" customHeight="1">
      <c r="A175" s="100">
        <v>174</v>
      </c>
      <c r="B175" s="100" t="s">
        <v>600</v>
      </c>
      <c r="C175" s="101" t="s">
        <v>141</v>
      </c>
      <c r="D175" s="101" t="s">
        <v>134</v>
      </c>
      <c r="E175" s="101" t="s">
        <v>141</v>
      </c>
      <c r="F175" s="100" t="s">
        <v>141</v>
      </c>
      <c r="G175" s="100" t="s">
        <v>141</v>
      </c>
      <c r="H175" s="100" t="s">
        <v>141</v>
      </c>
      <c r="I175" s="100" t="s">
        <v>601</v>
      </c>
      <c r="J175" s="100" t="s">
        <v>602</v>
      </c>
      <c r="K175" s="100" t="s">
        <v>341</v>
      </c>
      <c r="L175" s="114" t="s">
        <v>410</v>
      </c>
      <c r="M175" s="100" t="s">
        <v>137</v>
      </c>
      <c r="N175" s="100"/>
      <c r="O175" s="102" t="s">
        <v>15</v>
      </c>
      <c r="P175" s="102" t="s">
        <v>15</v>
      </c>
      <c r="Q175" s="102" t="s">
        <v>15</v>
      </c>
      <c r="R175" s="102" t="s">
        <v>15</v>
      </c>
      <c r="S175" s="102" t="s">
        <v>15</v>
      </c>
      <c r="T175" s="102" t="s">
        <v>15</v>
      </c>
      <c r="U175" s="102" t="s">
        <v>15</v>
      </c>
      <c r="V175" s="102" t="s">
        <v>15</v>
      </c>
      <c r="W175" s="102" t="s">
        <v>15</v>
      </c>
      <c r="X175" s="102" t="s">
        <v>15</v>
      </c>
      <c r="Y175" s="103" t="s">
        <v>41</v>
      </c>
      <c r="Z175" s="102" t="s">
        <v>15</v>
      </c>
      <c r="AA175" s="100" t="s">
        <v>134</v>
      </c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</row>
    <row r="176" spans="1:41" ht="15.75" customHeight="1">
      <c r="A176" s="100">
        <v>175</v>
      </c>
      <c r="B176" s="100" t="s">
        <v>603</v>
      </c>
      <c r="C176" s="101" t="s">
        <v>141</v>
      </c>
      <c r="D176" s="101" t="s">
        <v>134</v>
      </c>
      <c r="E176" s="101" t="s">
        <v>141</v>
      </c>
      <c r="F176" s="100" t="s">
        <v>141</v>
      </c>
      <c r="G176" s="100" t="s">
        <v>141</v>
      </c>
      <c r="H176" s="100" t="s">
        <v>141</v>
      </c>
      <c r="I176" s="100" t="s">
        <v>604</v>
      </c>
      <c r="J176" s="100" t="s">
        <v>605</v>
      </c>
      <c r="K176" s="100" t="s">
        <v>341</v>
      </c>
      <c r="L176" s="114" t="s">
        <v>410</v>
      </c>
      <c r="M176" s="100" t="s">
        <v>137</v>
      </c>
      <c r="N176" s="100"/>
      <c r="O176" s="102" t="s">
        <v>15</v>
      </c>
      <c r="P176" s="102" t="s">
        <v>15</v>
      </c>
      <c r="Q176" s="102" t="s">
        <v>15</v>
      </c>
      <c r="R176" s="102" t="s">
        <v>15</v>
      </c>
      <c r="S176" s="102" t="s">
        <v>15</v>
      </c>
      <c r="T176" s="102" t="s">
        <v>15</v>
      </c>
      <c r="U176" s="102" t="s">
        <v>15</v>
      </c>
      <c r="V176" s="102" t="s">
        <v>15</v>
      </c>
      <c r="W176" s="102" t="s">
        <v>15</v>
      </c>
      <c r="X176" s="102" t="s">
        <v>15</v>
      </c>
      <c r="Y176" s="103" t="s">
        <v>41</v>
      </c>
      <c r="Z176" s="102" t="s">
        <v>15</v>
      </c>
      <c r="AA176" s="100" t="s">
        <v>134</v>
      </c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</row>
    <row r="177" spans="1:41" ht="15.75" customHeight="1">
      <c r="A177" s="100">
        <v>176</v>
      </c>
      <c r="B177" s="100" t="s">
        <v>606</v>
      </c>
      <c r="C177" s="101" t="s">
        <v>141</v>
      </c>
      <c r="D177" s="101" t="s">
        <v>134</v>
      </c>
      <c r="E177" s="101" t="s">
        <v>141</v>
      </c>
      <c r="F177" s="100" t="s">
        <v>141</v>
      </c>
      <c r="G177" s="100" t="s">
        <v>141</v>
      </c>
      <c r="H177" s="100" t="s">
        <v>141</v>
      </c>
      <c r="I177" s="100" t="s">
        <v>607</v>
      </c>
      <c r="J177" s="100" t="s">
        <v>608</v>
      </c>
      <c r="K177" s="100" t="s">
        <v>341</v>
      </c>
      <c r="L177" s="114" t="s">
        <v>410</v>
      </c>
      <c r="M177" s="100" t="s">
        <v>137</v>
      </c>
      <c r="N177" s="100"/>
      <c r="O177" s="102" t="s">
        <v>15</v>
      </c>
      <c r="P177" s="102" t="s">
        <v>15</v>
      </c>
      <c r="Q177" s="102" t="s">
        <v>15</v>
      </c>
      <c r="R177" s="102" t="s">
        <v>15</v>
      </c>
      <c r="S177" s="102" t="s">
        <v>15</v>
      </c>
      <c r="T177" s="102" t="s">
        <v>15</v>
      </c>
      <c r="U177" s="102" t="s">
        <v>15</v>
      </c>
      <c r="V177" s="102" t="s">
        <v>15</v>
      </c>
      <c r="W177" s="102" t="s">
        <v>15</v>
      </c>
      <c r="X177" s="102" t="s">
        <v>15</v>
      </c>
      <c r="Y177" s="103" t="s">
        <v>41</v>
      </c>
      <c r="Z177" s="102" t="s">
        <v>15</v>
      </c>
      <c r="AA177" s="100" t="s">
        <v>134</v>
      </c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</row>
    <row r="178" spans="1:41" ht="15.75" customHeight="1">
      <c r="A178" s="100">
        <v>177</v>
      </c>
      <c r="B178" s="100" t="s">
        <v>609</v>
      </c>
      <c r="C178" s="101" t="s">
        <v>141</v>
      </c>
      <c r="D178" s="101" t="s">
        <v>134</v>
      </c>
      <c r="E178" s="101" t="s">
        <v>141</v>
      </c>
      <c r="F178" s="100" t="s">
        <v>141</v>
      </c>
      <c r="G178" s="100" t="s">
        <v>141</v>
      </c>
      <c r="H178" s="100" t="s">
        <v>141</v>
      </c>
      <c r="I178" s="100" t="s">
        <v>610</v>
      </c>
      <c r="J178" s="100" t="s">
        <v>611</v>
      </c>
      <c r="K178" s="100" t="s">
        <v>341</v>
      </c>
      <c r="L178" s="114" t="s">
        <v>410</v>
      </c>
      <c r="M178" s="100" t="s">
        <v>137</v>
      </c>
      <c r="N178" s="100"/>
      <c r="O178" s="102" t="s">
        <v>15</v>
      </c>
      <c r="P178" s="102" t="s">
        <v>15</v>
      </c>
      <c r="Q178" s="102" t="s">
        <v>15</v>
      </c>
      <c r="R178" s="102" t="s">
        <v>15</v>
      </c>
      <c r="S178" s="102" t="s">
        <v>15</v>
      </c>
      <c r="T178" s="102" t="s">
        <v>15</v>
      </c>
      <c r="U178" s="102" t="s">
        <v>15</v>
      </c>
      <c r="V178" s="102" t="s">
        <v>15</v>
      </c>
      <c r="W178" s="102" t="s">
        <v>15</v>
      </c>
      <c r="X178" s="102" t="s">
        <v>15</v>
      </c>
      <c r="Y178" s="103" t="s">
        <v>41</v>
      </c>
      <c r="Z178" s="102" t="s">
        <v>15</v>
      </c>
      <c r="AA178" s="100" t="s">
        <v>134</v>
      </c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</row>
    <row r="179" spans="1:41" ht="15.75" customHeight="1">
      <c r="A179" s="100">
        <v>178</v>
      </c>
      <c r="B179" s="100" t="s">
        <v>612</v>
      </c>
      <c r="C179" s="101" t="s">
        <v>141</v>
      </c>
      <c r="D179" s="101" t="s">
        <v>134</v>
      </c>
      <c r="E179" s="101" t="s">
        <v>141</v>
      </c>
      <c r="F179" s="100" t="s">
        <v>141</v>
      </c>
      <c r="G179" s="100" t="s">
        <v>141</v>
      </c>
      <c r="H179" s="100" t="s">
        <v>141</v>
      </c>
      <c r="I179" s="100" t="s">
        <v>613</v>
      </c>
      <c r="J179" s="100" t="s">
        <v>614</v>
      </c>
      <c r="K179" s="100" t="s">
        <v>341</v>
      </c>
      <c r="L179" s="114" t="s">
        <v>410</v>
      </c>
      <c r="M179" s="100" t="s">
        <v>137</v>
      </c>
      <c r="N179" s="100"/>
      <c r="O179" s="102" t="s">
        <v>15</v>
      </c>
      <c r="P179" s="102" t="s">
        <v>15</v>
      </c>
      <c r="Q179" s="102" t="s">
        <v>15</v>
      </c>
      <c r="R179" s="102" t="s">
        <v>15</v>
      </c>
      <c r="S179" s="102" t="s">
        <v>15</v>
      </c>
      <c r="T179" s="102" t="s">
        <v>15</v>
      </c>
      <c r="U179" s="102" t="s">
        <v>15</v>
      </c>
      <c r="V179" s="102" t="s">
        <v>15</v>
      </c>
      <c r="W179" s="102" t="s">
        <v>15</v>
      </c>
      <c r="X179" s="102" t="s">
        <v>15</v>
      </c>
      <c r="Y179" s="103" t="s">
        <v>41</v>
      </c>
      <c r="Z179" s="102" t="s">
        <v>15</v>
      </c>
      <c r="AA179" s="100" t="s">
        <v>134</v>
      </c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</row>
    <row r="180" spans="1:41" ht="15.75" customHeight="1">
      <c r="A180" s="100">
        <v>179</v>
      </c>
      <c r="B180" s="100" t="s">
        <v>615</v>
      </c>
      <c r="C180" s="101" t="s">
        <v>141</v>
      </c>
      <c r="D180" s="101" t="s">
        <v>134</v>
      </c>
      <c r="E180" s="101" t="s">
        <v>141</v>
      </c>
      <c r="F180" s="100" t="s">
        <v>141</v>
      </c>
      <c r="G180" s="100" t="s">
        <v>141</v>
      </c>
      <c r="H180" s="100" t="s">
        <v>141</v>
      </c>
      <c r="I180" s="100" t="s">
        <v>616</v>
      </c>
      <c r="J180" s="100" t="s">
        <v>617</v>
      </c>
      <c r="K180" s="100" t="s">
        <v>341</v>
      </c>
      <c r="L180" s="114" t="s">
        <v>410</v>
      </c>
      <c r="M180" s="100" t="s">
        <v>137</v>
      </c>
      <c r="N180" s="100"/>
      <c r="O180" s="102" t="s">
        <v>15</v>
      </c>
      <c r="P180" s="102" t="s">
        <v>15</v>
      </c>
      <c r="Q180" s="102" t="s">
        <v>15</v>
      </c>
      <c r="R180" s="102" t="s">
        <v>15</v>
      </c>
      <c r="S180" s="102" t="s">
        <v>15</v>
      </c>
      <c r="T180" s="102" t="s">
        <v>15</v>
      </c>
      <c r="U180" s="102" t="s">
        <v>15</v>
      </c>
      <c r="V180" s="102" t="s">
        <v>15</v>
      </c>
      <c r="W180" s="102" t="s">
        <v>15</v>
      </c>
      <c r="X180" s="102" t="s">
        <v>15</v>
      </c>
      <c r="Y180" s="103" t="s">
        <v>41</v>
      </c>
      <c r="Z180" s="102" t="s">
        <v>15</v>
      </c>
      <c r="AA180" s="100" t="s">
        <v>134</v>
      </c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</row>
    <row r="181" spans="1:41" ht="15.75" customHeight="1">
      <c r="A181" s="100">
        <v>180</v>
      </c>
      <c r="B181" s="100" t="s">
        <v>618</v>
      </c>
      <c r="C181" s="101" t="s">
        <v>141</v>
      </c>
      <c r="D181" s="101" t="s">
        <v>134</v>
      </c>
      <c r="E181" s="101" t="s">
        <v>141</v>
      </c>
      <c r="F181" s="100" t="s">
        <v>141</v>
      </c>
      <c r="G181" s="100" t="s">
        <v>141</v>
      </c>
      <c r="H181" s="100" t="s">
        <v>141</v>
      </c>
      <c r="I181" s="100" t="s">
        <v>619</v>
      </c>
      <c r="J181" s="100" t="s">
        <v>620</v>
      </c>
      <c r="K181" s="100" t="s">
        <v>341</v>
      </c>
      <c r="L181" s="114" t="s">
        <v>410</v>
      </c>
      <c r="M181" s="100" t="s">
        <v>137</v>
      </c>
      <c r="N181" s="100"/>
      <c r="O181" s="102" t="s">
        <v>15</v>
      </c>
      <c r="P181" s="102" t="s">
        <v>15</v>
      </c>
      <c r="Q181" s="102" t="s">
        <v>15</v>
      </c>
      <c r="R181" s="102" t="s">
        <v>15</v>
      </c>
      <c r="S181" s="102" t="s">
        <v>15</v>
      </c>
      <c r="T181" s="102" t="s">
        <v>15</v>
      </c>
      <c r="U181" s="102" t="s">
        <v>15</v>
      </c>
      <c r="V181" s="102" t="s">
        <v>15</v>
      </c>
      <c r="W181" s="102" t="s">
        <v>15</v>
      </c>
      <c r="X181" s="102" t="s">
        <v>15</v>
      </c>
      <c r="Y181" s="103" t="s">
        <v>41</v>
      </c>
      <c r="Z181" s="102" t="s">
        <v>15</v>
      </c>
      <c r="AA181" s="100" t="s">
        <v>134</v>
      </c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</row>
    <row r="182" spans="1:41" ht="15.75" customHeight="1">
      <c r="A182" s="100">
        <v>181</v>
      </c>
      <c r="B182" s="100" t="s">
        <v>621</v>
      </c>
      <c r="C182" s="101" t="s">
        <v>141</v>
      </c>
      <c r="D182" s="101" t="s">
        <v>134</v>
      </c>
      <c r="E182" s="101" t="s">
        <v>141</v>
      </c>
      <c r="F182" s="100" t="s">
        <v>141</v>
      </c>
      <c r="G182" s="100" t="s">
        <v>141</v>
      </c>
      <c r="H182" s="100" t="s">
        <v>141</v>
      </c>
      <c r="I182" s="100" t="s">
        <v>622</v>
      </c>
      <c r="J182" s="100" t="s">
        <v>623</v>
      </c>
      <c r="K182" s="100" t="s">
        <v>341</v>
      </c>
      <c r="L182" s="114" t="s">
        <v>410</v>
      </c>
      <c r="M182" s="100" t="s">
        <v>137</v>
      </c>
      <c r="N182" s="100"/>
      <c r="O182" s="102" t="s">
        <v>15</v>
      </c>
      <c r="P182" s="102" t="s">
        <v>15</v>
      </c>
      <c r="Q182" s="102" t="s">
        <v>15</v>
      </c>
      <c r="R182" s="102" t="s">
        <v>15</v>
      </c>
      <c r="S182" s="102" t="s">
        <v>15</v>
      </c>
      <c r="T182" s="102" t="s">
        <v>15</v>
      </c>
      <c r="U182" s="102" t="s">
        <v>15</v>
      </c>
      <c r="V182" s="102" t="s">
        <v>15</v>
      </c>
      <c r="W182" s="102" t="s">
        <v>15</v>
      </c>
      <c r="X182" s="102" t="s">
        <v>15</v>
      </c>
      <c r="Y182" s="103" t="s">
        <v>41</v>
      </c>
      <c r="Z182" s="102" t="s">
        <v>15</v>
      </c>
      <c r="AA182" s="100" t="s">
        <v>134</v>
      </c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</row>
    <row r="183" spans="1:41" ht="15.75" customHeight="1">
      <c r="A183" s="100">
        <v>182</v>
      </c>
      <c r="B183" s="100" t="s">
        <v>624</v>
      </c>
      <c r="C183" s="101" t="s">
        <v>141</v>
      </c>
      <c r="D183" s="101" t="s">
        <v>134</v>
      </c>
      <c r="E183" s="101" t="s">
        <v>141</v>
      </c>
      <c r="F183" s="100" t="s">
        <v>141</v>
      </c>
      <c r="G183" s="100" t="s">
        <v>141</v>
      </c>
      <c r="H183" s="100" t="s">
        <v>141</v>
      </c>
      <c r="I183" s="100" t="s">
        <v>625</v>
      </c>
      <c r="J183" s="100" t="s">
        <v>626</v>
      </c>
      <c r="K183" s="100" t="s">
        <v>341</v>
      </c>
      <c r="L183" s="114" t="s">
        <v>410</v>
      </c>
      <c r="M183" s="100" t="s">
        <v>137</v>
      </c>
      <c r="N183" s="100"/>
      <c r="O183" s="102" t="s">
        <v>15</v>
      </c>
      <c r="P183" s="102" t="s">
        <v>15</v>
      </c>
      <c r="Q183" s="102" t="s">
        <v>15</v>
      </c>
      <c r="R183" s="102" t="s">
        <v>15</v>
      </c>
      <c r="S183" s="102" t="s">
        <v>15</v>
      </c>
      <c r="T183" s="102" t="s">
        <v>15</v>
      </c>
      <c r="U183" s="102" t="s">
        <v>15</v>
      </c>
      <c r="V183" s="102" t="s">
        <v>15</v>
      </c>
      <c r="W183" s="102" t="s">
        <v>15</v>
      </c>
      <c r="X183" s="102" t="s">
        <v>15</v>
      </c>
      <c r="Y183" s="103" t="s">
        <v>41</v>
      </c>
      <c r="Z183" s="102" t="s">
        <v>15</v>
      </c>
      <c r="AA183" s="100" t="s">
        <v>134</v>
      </c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</row>
    <row r="184" spans="1:41" ht="15.75" customHeight="1">
      <c r="A184" s="100">
        <v>183</v>
      </c>
      <c r="B184" s="100" t="s">
        <v>627</v>
      </c>
      <c r="C184" s="101" t="s">
        <v>141</v>
      </c>
      <c r="D184" s="101" t="s">
        <v>134</v>
      </c>
      <c r="E184" s="101" t="s">
        <v>141</v>
      </c>
      <c r="F184" s="100" t="s">
        <v>141</v>
      </c>
      <c r="G184" s="100" t="s">
        <v>141</v>
      </c>
      <c r="H184" s="100" t="s">
        <v>141</v>
      </c>
      <c r="I184" s="100" t="s">
        <v>628</v>
      </c>
      <c r="J184" s="100" t="s">
        <v>629</v>
      </c>
      <c r="K184" s="100" t="s">
        <v>341</v>
      </c>
      <c r="L184" s="114" t="s">
        <v>410</v>
      </c>
      <c r="M184" s="100" t="s">
        <v>137</v>
      </c>
      <c r="N184" s="100"/>
      <c r="O184" s="102" t="s">
        <v>15</v>
      </c>
      <c r="P184" s="102" t="s">
        <v>15</v>
      </c>
      <c r="Q184" s="102" t="s">
        <v>15</v>
      </c>
      <c r="R184" s="102" t="s">
        <v>15</v>
      </c>
      <c r="S184" s="102" t="s">
        <v>15</v>
      </c>
      <c r="T184" s="102" t="s">
        <v>15</v>
      </c>
      <c r="U184" s="102" t="s">
        <v>15</v>
      </c>
      <c r="V184" s="102" t="s">
        <v>15</v>
      </c>
      <c r="W184" s="102" t="s">
        <v>15</v>
      </c>
      <c r="X184" s="102" t="s">
        <v>15</v>
      </c>
      <c r="Y184" s="103" t="s">
        <v>41</v>
      </c>
      <c r="Z184" s="102" t="s">
        <v>15</v>
      </c>
      <c r="AA184" s="100" t="s">
        <v>134</v>
      </c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</row>
    <row r="185" spans="1:41" ht="15.75" customHeight="1">
      <c r="A185" s="100">
        <v>184</v>
      </c>
      <c r="B185" s="100" t="s">
        <v>630</v>
      </c>
      <c r="C185" s="101" t="s">
        <v>141</v>
      </c>
      <c r="D185" s="101" t="s">
        <v>134</v>
      </c>
      <c r="E185" s="101" t="s">
        <v>141</v>
      </c>
      <c r="F185" s="100" t="s">
        <v>141</v>
      </c>
      <c r="G185" s="100" t="s">
        <v>141</v>
      </c>
      <c r="H185" s="100" t="s">
        <v>141</v>
      </c>
      <c r="I185" s="100" t="s">
        <v>631</v>
      </c>
      <c r="J185" s="100" t="s">
        <v>632</v>
      </c>
      <c r="K185" s="100" t="s">
        <v>341</v>
      </c>
      <c r="L185" s="114" t="s">
        <v>410</v>
      </c>
      <c r="M185" s="100" t="s">
        <v>137</v>
      </c>
      <c r="N185" s="100"/>
      <c r="O185" s="102" t="s">
        <v>15</v>
      </c>
      <c r="P185" s="102" t="s">
        <v>15</v>
      </c>
      <c r="Q185" s="102" t="s">
        <v>15</v>
      </c>
      <c r="R185" s="102" t="s">
        <v>15</v>
      </c>
      <c r="S185" s="102" t="s">
        <v>15</v>
      </c>
      <c r="T185" s="102" t="s">
        <v>15</v>
      </c>
      <c r="U185" s="102" t="s">
        <v>15</v>
      </c>
      <c r="V185" s="102" t="s">
        <v>15</v>
      </c>
      <c r="W185" s="102" t="s">
        <v>15</v>
      </c>
      <c r="X185" s="102" t="s">
        <v>15</v>
      </c>
      <c r="Y185" s="103" t="s">
        <v>41</v>
      </c>
      <c r="Z185" s="102" t="s">
        <v>15</v>
      </c>
      <c r="AA185" s="100" t="s">
        <v>134</v>
      </c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</row>
    <row r="186" spans="1:41" ht="15.75" customHeight="1">
      <c r="A186" s="100">
        <v>185</v>
      </c>
      <c r="B186" s="100" t="s">
        <v>633</v>
      </c>
      <c r="C186" s="101" t="s">
        <v>141</v>
      </c>
      <c r="D186" s="101" t="s">
        <v>134</v>
      </c>
      <c r="E186" s="101" t="s">
        <v>141</v>
      </c>
      <c r="F186" s="100" t="s">
        <v>141</v>
      </c>
      <c r="G186" s="100" t="s">
        <v>141</v>
      </c>
      <c r="H186" s="100" t="s">
        <v>141</v>
      </c>
      <c r="I186" s="100" t="s">
        <v>634</v>
      </c>
      <c r="J186" s="100" t="s">
        <v>635</v>
      </c>
      <c r="K186" s="100" t="s">
        <v>341</v>
      </c>
      <c r="L186" s="114" t="s">
        <v>410</v>
      </c>
      <c r="M186" s="100" t="s">
        <v>137</v>
      </c>
      <c r="N186" s="100"/>
      <c r="O186" s="102" t="s">
        <v>15</v>
      </c>
      <c r="P186" s="102" t="s">
        <v>15</v>
      </c>
      <c r="Q186" s="102" t="s">
        <v>15</v>
      </c>
      <c r="R186" s="102" t="s">
        <v>15</v>
      </c>
      <c r="S186" s="102" t="s">
        <v>15</v>
      </c>
      <c r="T186" s="102" t="s">
        <v>15</v>
      </c>
      <c r="U186" s="102" t="s">
        <v>15</v>
      </c>
      <c r="V186" s="102" t="s">
        <v>15</v>
      </c>
      <c r="W186" s="102" t="s">
        <v>15</v>
      </c>
      <c r="X186" s="102" t="s">
        <v>15</v>
      </c>
      <c r="Y186" s="103" t="s">
        <v>41</v>
      </c>
      <c r="Z186" s="102" t="s">
        <v>15</v>
      </c>
      <c r="AA186" s="100" t="s">
        <v>134</v>
      </c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</row>
    <row r="187" spans="1:41" ht="15.75" customHeight="1">
      <c r="A187" s="100">
        <v>186</v>
      </c>
      <c r="B187" s="100" t="s">
        <v>636</v>
      </c>
      <c r="C187" s="101" t="s">
        <v>141</v>
      </c>
      <c r="D187" s="101" t="s">
        <v>134</v>
      </c>
      <c r="E187" s="101" t="s">
        <v>141</v>
      </c>
      <c r="F187" s="100" t="s">
        <v>141</v>
      </c>
      <c r="G187" s="100" t="s">
        <v>141</v>
      </c>
      <c r="H187" s="100" t="s">
        <v>141</v>
      </c>
      <c r="I187" s="100" t="s">
        <v>637</v>
      </c>
      <c r="J187" s="100" t="s">
        <v>638</v>
      </c>
      <c r="K187" s="100" t="s">
        <v>341</v>
      </c>
      <c r="L187" s="114" t="s">
        <v>410</v>
      </c>
      <c r="M187" s="100" t="s">
        <v>137</v>
      </c>
      <c r="N187" s="100"/>
      <c r="O187" s="102" t="s">
        <v>15</v>
      </c>
      <c r="P187" s="102" t="s">
        <v>15</v>
      </c>
      <c r="Q187" s="102" t="s">
        <v>15</v>
      </c>
      <c r="R187" s="102" t="s">
        <v>15</v>
      </c>
      <c r="S187" s="102" t="s">
        <v>15</v>
      </c>
      <c r="T187" s="102" t="s">
        <v>15</v>
      </c>
      <c r="U187" s="102" t="s">
        <v>15</v>
      </c>
      <c r="V187" s="102" t="s">
        <v>15</v>
      </c>
      <c r="W187" s="102" t="s">
        <v>15</v>
      </c>
      <c r="X187" s="102" t="s">
        <v>15</v>
      </c>
      <c r="Y187" s="103" t="s">
        <v>41</v>
      </c>
      <c r="Z187" s="102" t="s">
        <v>15</v>
      </c>
      <c r="AA187" s="100" t="s">
        <v>134</v>
      </c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</row>
    <row r="188" spans="1:41" ht="15.75" customHeight="1">
      <c r="A188" s="100">
        <v>187</v>
      </c>
      <c r="B188" s="100" t="s">
        <v>639</v>
      </c>
      <c r="C188" s="101" t="s">
        <v>141</v>
      </c>
      <c r="D188" s="101" t="s">
        <v>134</v>
      </c>
      <c r="E188" s="101" t="s">
        <v>141</v>
      </c>
      <c r="F188" s="100" t="s">
        <v>141</v>
      </c>
      <c r="G188" s="100" t="s">
        <v>141</v>
      </c>
      <c r="H188" s="100" t="s">
        <v>141</v>
      </c>
      <c r="I188" s="100" t="s">
        <v>640</v>
      </c>
      <c r="J188" s="100" t="s">
        <v>641</v>
      </c>
      <c r="K188" s="100" t="s">
        <v>341</v>
      </c>
      <c r="L188" s="114" t="s">
        <v>410</v>
      </c>
      <c r="M188" s="100" t="s">
        <v>137</v>
      </c>
      <c r="N188" s="100"/>
      <c r="O188" s="102" t="s">
        <v>15</v>
      </c>
      <c r="P188" s="102" t="s">
        <v>15</v>
      </c>
      <c r="Q188" s="102" t="s">
        <v>15</v>
      </c>
      <c r="R188" s="102" t="s">
        <v>15</v>
      </c>
      <c r="S188" s="102" t="s">
        <v>15</v>
      </c>
      <c r="T188" s="102" t="s">
        <v>15</v>
      </c>
      <c r="U188" s="102" t="s">
        <v>15</v>
      </c>
      <c r="V188" s="102" t="s">
        <v>15</v>
      </c>
      <c r="W188" s="102" t="s">
        <v>15</v>
      </c>
      <c r="X188" s="102" t="s">
        <v>15</v>
      </c>
      <c r="Y188" s="103" t="s">
        <v>41</v>
      </c>
      <c r="Z188" s="102" t="s">
        <v>15</v>
      </c>
      <c r="AA188" s="100" t="s">
        <v>134</v>
      </c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</row>
    <row r="189" spans="1:41" ht="15.75" customHeight="1">
      <c r="A189" s="100">
        <v>188</v>
      </c>
      <c r="B189" s="100" t="s">
        <v>642</v>
      </c>
      <c r="C189" s="101" t="s">
        <v>141</v>
      </c>
      <c r="D189" s="101" t="s">
        <v>134</v>
      </c>
      <c r="E189" s="101" t="s">
        <v>141</v>
      </c>
      <c r="F189" s="100" t="s">
        <v>141</v>
      </c>
      <c r="G189" s="100" t="s">
        <v>141</v>
      </c>
      <c r="H189" s="100" t="s">
        <v>141</v>
      </c>
      <c r="I189" s="100" t="s">
        <v>643</v>
      </c>
      <c r="J189" s="100" t="s">
        <v>644</v>
      </c>
      <c r="K189" s="100" t="s">
        <v>341</v>
      </c>
      <c r="L189" s="114" t="s">
        <v>410</v>
      </c>
      <c r="M189" s="100" t="s">
        <v>137</v>
      </c>
      <c r="N189" s="100"/>
      <c r="O189" s="102" t="s">
        <v>15</v>
      </c>
      <c r="P189" s="102" t="s">
        <v>15</v>
      </c>
      <c r="Q189" s="102" t="s">
        <v>15</v>
      </c>
      <c r="R189" s="102" t="s">
        <v>15</v>
      </c>
      <c r="S189" s="102" t="s">
        <v>15</v>
      </c>
      <c r="T189" s="102" t="s">
        <v>15</v>
      </c>
      <c r="U189" s="102" t="s">
        <v>15</v>
      </c>
      <c r="V189" s="102" t="s">
        <v>15</v>
      </c>
      <c r="W189" s="102" t="s">
        <v>15</v>
      </c>
      <c r="X189" s="102" t="s">
        <v>15</v>
      </c>
      <c r="Y189" s="103" t="s">
        <v>41</v>
      </c>
      <c r="Z189" s="102" t="s">
        <v>15</v>
      </c>
      <c r="AA189" s="100" t="s">
        <v>134</v>
      </c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</row>
    <row r="190" spans="1:41" ht="15.75" customHeight="1">
      <c r="A190" s="100">
        <v>189</v>
      </c>
      <c r="B190" s="100" t="s">
        <v>645</v>
      </c>
      <c r="C190" s="101" t="s">
        <v>141</v>
      </c>
      <c r="D190" s="101" t="s">
        <v>134</v>
      </c>
      <c r="E190" s="101" t="s">
        <v>141</v>
      </c>
      <c r="F190" s="100" t="s">
        <v>141</v>
      </c>
      <c r="G190" s="100" t="s">
        <v>141</v>
      </c>
      <c r="H190" s="100" t="s">
        <v>141</v>
      </c>
      <c r="I190" s="100" t="s">
        <v>646</v>
      </c>
      <c r="J190" s="100" t="s">
        <v>647</v>
      </c>
      <c r="K190" s="100" t="s">
        <v>341</v>
      </c>
      <c r="L190" s="114" t="s">
        <v>410</v>
      </c>
      <c r="M190" s="100" t="s">
        <v>137</v>
      </c>
      <c r="N190" s="100"/>
      <c r="O190" s="102" t="s">
        <v>15</v>
      </c>
      <c r="P190" s="102" t="s">
        <v>15</v>
      </c>
      <c r="Q190" s="102" t="s">
        <v>15</v>
      </c>
      <c r="R190" s="102" t="s">
        <v>15</v>
      </c>
      <c r="S190" s="102" t="s">
        <v>15</v>
      </c>
      <c r="T190" s="102" t="s">
        <v>15</v>
      </c>
      <c r="U190" s="102" t="s">
        <v>15</v>
      </c>
      <c r="V190" s="102" t="s">
        <v>15</v>
      </c>
      <c r="W190" s="102" t="s">
        <v>15</v>
      </c>
      <c r="X190" s="102" t="s">
        <v>15</v>
      </c>
      <c r="Y190" s="103" t="s">
        <v>41</v>
      </c>
      <c r="Z190" s="102" t="s">
        <v>15</v>
      </c>
      <c r="AA190" s="100" t="s">
        <v>134</v>
      </c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</row>
    <row r="191" spans="1:41" ht="15.75" customHeight="1">
      <c r="A191" s="100">
        <v>190</v>
      </c>
      <c r="B191" s="100" t="s">
        <v>648</v>
      </c>
      <c r="C191" s="101" t="s">
        <v>141</v>
      </c>
      <c r="D191" s="101" t="s">
        <v>134</v>
      </c>
      <c r="E191" s="101" t="s">
        <v>141</v>
      </c>
      <c r="F191" s="100" t="s">
        <v>141</v>
      </c>
      <c r="G191" s="100" t="s">
        <v>141</v>
      </c>
      <c r="H191" s="100" t="s">
        <v>141</v>
      </c>
      <c r="I191" s="100" t="s">
        <v>649</v>
      </c>
      <c r="J191" s="100" t="s">
        <v>650</v>
      </c>
      <c r="K191" s="100" t="s">
        <v>341</v>
      </c>
      <c r="L191" s="114" t="s">
        <v>410</v>
      </c>
      <c r="M191" s="100" t="s">
        <v>137</v>
      </c>
      <c r="N191" s="100"/>
      <c r="O191" s="102" t="s">
        <v>15</v>
      </c>
      <c r="P191" s="102" t="s">
        <v>15</v>
      </c>
      <c r="Q191" s="102" t="s">
        <v>15</v>
      </c>
      <c r="R191" s="102" t="s">
        <v>15</v>
      </c>
      <c r="S191" s="102" t="s">
        <v>15</v>
      </c>
      <c r="T191" s="102" t="s">
        <v>15</v>
      </c>
      <c r="U191" s="102" t="s">
        <v>15</v>
      </c>
      <c r="V191" s="102" t="s">
        <v>15</v>
      </c>
      <c r="W191" s="102" t="s">
        <v>15</v>
      </c>
      <c r="X191" s="102" t="s">
        <v>15</v>
      </c>
      <c r="Y191" s="103" t="s">
        <v>41</v>
      </c>
      <c r="Z191" s="102" t="s">
        <v>15</v>
      </c>
      <c r="AA191" s="100" t="s">
        <v>134</v>
      </c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</row>
    <row r="192" spans="1:41" ht="15.75" customHeight="1">
      <c r="A192" s="100">
        <v>191</v>
      </c>
      <c r="B192" s="100" t="s">
        <v>651</v>
      </c>
      <c r="C192" s="101" t="s">
        <v>141</v>
      </c>
      <c r="D192" s="101" t="s">
        <v>134</v>
      </c>
      <c r="E192" s="101" t="s">
        <v>141</v>
      </c>
      <c r="F192" s="100" t="s">
        <v>141</v>
      </c>
      <c r="G192" s="100" t="s">
        <v>141</v>
      </c>
      <c r="H192" s="100" t="s">
        <v>141</v>
      </c>
      <c r="I192" s="100" t="s">
        <v>652</v>
      </c>
      <c r="J192" s="100" t="s">
        <v>653</v>
      </c>
      <c r="K192" s="100" t="s">
        <v>341</v>
      </c>
      <c r="L192" s="114" t="s">
        <v>410</v>
      </c>
      <c r="M192" s="100" t="s">
        <v>137</v>
      </c>
      <c r="N192" s="100"/>
      <c r="O192" s="102" t="s">
        <v>15</v>
      </c>
      <c r="P192" s="102" t="s">
        <v>15</v>
      </c>
      <c r="Q192" s="102" t="s">
        <v>15</v>
      </c>
      <c r="R192" s="102" t="s">
        <v>15</v>
      </c>
      <c r="S192" s="102" t="s">
        <v>15</v>
      </c>
      <c r="T192" s="102" t="s">
        <v>15</v>
      </c>
      <c r="U192" s="102" t="s">
        <v>15</v>
      </c>
      <c r="V192" s="102" t="s">
        <v>15</v>
      </c>
      <c r="W192" s="102" t="s">
        <v>15</v>
      </c>
      <c r="X192" s="102" t="s">
        <v>15</v>
      </c>
      <c r="Y192" s="103" t="s">
        <v>41</v>
      </c>
      <c r="Z192" s="102" t="s">
        <v>15</v>
      </c>
      <c r="AA192" s="100" t="s">
        <v>134</v>
      </c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</row>
    <row r="193" spans="1:41" ht="15.75" customHeight="1">
      <c r="A193" s="100">
        <v>192</v>
      </c>
      <c r="B193" s="100" t="s">
        <v>654</v>
      </c>
      <c r="C193" s="101" t="s">
        <v>141</v>
      </c>
      <c r="D193" s="101" t="s">
        <v>134</v>
      </c>
      <c r="E193" s="101" t="s">
        <v>141</v>
      </c>
      <c r="F193" s="100" t="s">
        <v>141</v>
      </c>
      <c r="G193" s="100" t="s">
        <v>141</v>
      </c>
      <c r="H193" s="100" t="s">
        <v>141</v>
      </c>
      <c r="I193" s="100" t="s">
        <v>655</v>
      </c>
      <c r="J193" s="100" t="s">
        <v>656</v>
      </c>
      <c r="K193" s="100" t="s">
        <v>341</v>
      </c>
      <c r="L193" s="114" t="s">
        <v>410</v>
      </c>
      <c r="M193" s="100" t="s">
        <v>137</v>
      </c>
      <c r="N193" s="100"/>
      <c r="O193" s="102" t="s">
        <v>15</v>
      </c>
      <c r="P193" s="102" t="s">
        <v>15</v>
      </c>
      <c r="Q193" s="102" t="s">
        <v>15</v>
      </c>
      <c r="R193" s="102" t="s">
        <v>15</v>
      </c>
      <c r="S193" s="102" t="s">
        <v>15</v>
      </c>
      <c r="T193" s="102" t="s">
        <v>15</v>
      </c>
      <c r="U193" s="102" t="s">
        <v>15</v>
      </c>
      <c r="V193" s="102" t="s">
        <v>15</v>
      </c>
      <c r="W193" s="102" t="s">
        <v>15</v>
      </c>
      <c r="X193" s="102" t="s">
        <v>15</v>
      </c>
      <c r="Y193" s="103" t="s">
        <v>41</v>
      </c>
      <c r="Z193" s="102" t="s">
        <v>15</v>
      </c>
      <c r="AA193" s="100" t="s">
        <v>134</v>
      </c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</row>
    <row r="194" spans="1:41" ht="15.75" customHeight="1">
      <c r="A194" s="100">
        <v>193</v>
      </c>
      <c r="B194" s="100" t="s">
        <v>657</v>
      </c>
      <c r="C194" s="101" t="s">
        <v>134</v>
      </c>
      <c r="D194" s="101" t="s">
        <v>141</v>
      </c>
      <c r="E194" s="101" t="s">
        <v>141</v>
      </c>
      <c r="F194" s="100" t="s">
        <v>141</v>
      </c>
      <c r="G194" s="100" t="s">
        <v>141</v>
      </c>
      <c r="H194" s="100" t="s">
        <v>141</v>
      </c>
      <c r="I194" s="100" t="s">
        <v>658</v>
      </c>
      <c r="J194" s="100" t="s">
        <v>659</v>
      </c>
      <c r="K194" s="100" t="s">
        <v>341</v>
      </c>
      <c r="L194" s="114" t="s">
        <v>410</v>
      </c>
      <c r="M194" s="100" t="s">
        <v>137</v>
      </c>
      <c r="N194" s="100"/>
      <c r="O194" s="102" t="s">
        <v>15</v>
      </c>
      <c r="P194" s="102" t="s">
        <v>15</v>
      </c>
      <c r="Q194" s="102" t="s">
        <v>15</v>
      </c>
      <c r="R194" s="102" t="s">
        <v>15</v>
      </c>
      <c r="S194" s="102" t="s">
        <v>15</v>
      </c>
      <c r="T194" s="102" t="s">
        <v>15</v>
      </c>
      <c r="U194" s="102" t="s">
        <v>15</v>
      </c>
      <c r="V194" s="102" t="s">
        <v>15</v>
      </c>
      <c r="W194" s="102" t="s">
        <v>15</v>
      </c>
      <c r="X194" s="102" t="s">
        <v>15</v>
      </c>
      <c r="Y194" s="102" t="s">
        <v>15</v>
      </c>
      <c r="Z194" s="103" t="s">
        <v>41</v>
      </c>
      <c r="AA194" s="100" t="s">
        <v>134</v>
      </c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</row>
    <row r="195" spans="1:41" ht="15.75" customHeight="1">
      <c r="A195" s="100">
        <v>194</v>
      </c>
      <c r="B195" s="100" t="s">
        <v>660</v>
      </c>
      <c r="C195" s="101" t="s">
        <v>134</v>
      </c>
      <c r="D195" s="101" t="s">
        <v>141</v>
      </c>
      <c r="E195" s="101" t="s">
        <v>141</v>
      </c>
      <c r="F195" s="100" t="s">
        <v>141</v>
      </c>
      <c r="G195" s="100" t="s">
        <v>141</v>
      </c>
      <c r="H195" s="100" t="s">
        <v>141</v>
      </c>
      <c r="I195" s="100" t="s">
        <v>661</v>
      </c>
      <c r="J195" s="100" t="s">
        <v>662</v>
      </c>
      <c r="K195" s="100" t="s">
        <v>341</v>
      </c>
      <c r="L195" s="114" t="s">
        <v>410</v>
      </c>
      <c r="M195" s="100" t="s">
        <v>137</v>
      </c>
      <c r="N195" s="100"/>
      <c r="O195" s="102" t="s">
        <v>15</v>
      </c>
      <c r="P195" s="102" t="s">
        <v>15</v>
      </c>
      <c r="Q195" s="102" t="s">
        <v>15</v>
      </c>
      <c r="R195" s="102" t="s">
        <v>15</v>
      </c>
      <c r="S195" s="102" t="s">
        <v>15</v>
      </c>
      <c r="T195" s="102" t="s">
        <v>15</v>
      </c>
      <c r="U195" s="102" t="s">
        <v>15</v>
      </c>
      <c r="V195" s="102" t="s">
        <v>15</v>
      </c>
      <c r="W195" s="102" t="s">
        <v>15</v>
      </c>
      <c r="X195" s="102" t="s">
        <v>15</v>
      </c>
      <c r="Y195" s="102" t="s">
        <v>15</v>
      </c>
      <c r="Z195" s="103" t="s">
        <v>41</v>
      </c>
      <c r="AA195" s="100" t="s">
        <v>134</v>
      </c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</row>
    <row r="196" spans="1:41" ht="15.75" customHeight="1">
      <c r="A196" s="100">
        <v>195</v>
      </c>
      <c r="B196" s="100" t="s">
        <v>663</v>
      </c>
      <c r="C196" s="101" t="s">
        <v>134</v>
      </c>
      <c r="D196" s="101" t="s">
        <v>141</v>
      </c>
      <c r="E196" s="101" t="s">
        <v>141</v>
      </c>
      <c r="F196" s="100" t="s">
        <v>141</v>
      </c>
      <c r="G196" s="100" t="s">
        <v>141</v>
      </c>
      <c r="H196" s="100" t="s">
        <v>141</v>
      </c>
      <c r="I196" s="100" t="s">
        <v>664</v>
      </c>
      <c r="J196" s="100" t="s">
        <v>665</v>
      </c>
      <c r="K196" s="100" t="s">
        <v>341</v>
      </c>
      <c r="L196" s="114" t="s">
        <v>410</v>
      </c>
      <c r="M196" s="100" t="s">
        <v>137</v>
      </c>
      <c r="N196" s="100"/>
      <c r="O196" s="102" t="s">
        <v>15</v>
      </c>
      <c r="P196" s="102" t="s">
        <v>15</v>
      </c>
      <c r="Q196" s="102" t="s">
        <v>15</v>
      </c>
      <c r="R196" s="102" t="s">
        <v>15</v>
      </c>
      <c r="S196" s="102" t="s">
        <v>15</v>
      </c>
      <c r="T196" s="102" t="s">
        <v>15</v>
      </c>
      <c r="U196" s="102" t="s">
        <v>15</v>
      </c>
      <c r="V196" s="102" t="s">
        <v>15</v>
      </c>
      <c r="W196" s="102" t="s">
        <v>15</v>
      </c>
      <c r="X196" s="102" t="s">
        <v>15</v>
      </c>
      <c r="Y196" s="102" t="s">
        <v>15</v>
      </c>
      <c r="Z196" s="103" t="s">
        <v>41</v>
      </c>
      <c r="AA196" s="100" t="s">
        <v>134</v>
      </c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</row>
    <row r="197" spans="1:41" ht="15.75" customHeight="1">
      <c r="A197" s="100">
        <v>196</v>
      </c>
      <c r="B197" s="100" t="s">
        <v>666</v>
      </c>
      <c r="C197" s="101" t="s">
        <v>134</v>
      </c>
      <c r="D197" s="101" t="s">
        <v>141</v>
      </c>
      <c r="E197" s="101" t="s">
        <v>141</v>
      </c>
      <c r="F197" s="100" t="s">
        <v>141</v>
      </c>
      <c r="G197" s="100" t="s">
        <v>141</v>
      </c>
      <c r="H197" s="100" t="s">
        <v>141</v>
      </c>
      <c r="I197" s="100" t="s">
        <v>667</v>
      </c>
      <c r="J197" s="100" t="s">
        <v>668</v>
      </c>
      <c r="K197" s="100" t="s">
        <v>341</v>
      </c>
      <c r="L197" s="114" t="s">
        <v>410</v>
      </c>
      <c r="M197" s="100" t="s">
        <v>137</v>
      </c>
      <c r="N197" s="100"/>
      <c r="O197" s="102" t="s">
        <v>15</v>
      </c>
      <c r="P197" s="102" t="s">
        <v>15</v>
      </c>
      <c r="Q197" s="102" t="s">
        <v>15</v>
      </c>
      <c r="R197" s="102" t="s">
        <v>15</v>
      </c>
      <c r="S197" s="102" t="s">
        <v>15</v>
      </c>
      <c r="T197" s="102" t="s">
        <v>15</v>
      </c>
      <c r="U197" s="102" t="s">
        <v>15</v>
      </c>
      <c r="V197" s="102" t="s">
        <v>15</v>
      </c>
      <c r="W197" s="102" t="s">
        <v>15</v>
      </c>
      <c r="X197" s="102" t="s">
        <v>15</v>
      </c>
      <c r="Y197" s="102" t="s">
        <v>15</v>
      </c>
      <c r="Z197" s="103" t="s">
        <v>41</v>
      </c>
      <c r="AA197" s="100" t="s">
        <v>134</v>
      </c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</row>
    <row r="198" spans="1:41" ht="15.75" customHeight="1">
      <c r="A198" s="100">
        <v>197</v>
      </c>
      <c r="B198" s="100" t="s">
        <v>669</v>
      </c>
      <c r="C198" s="101" t="s">
        <v>134</v>
      </c>
      <c r="D198" s="101" t="s">
        <v>134</v>
      </c>
      <c r="E198" s="101" t="s">
        <v>134</v>
      </c>
      <c r="F198" s="100" t="s">
        <v>134</v>
      </c>
      <c r="G198" s="100" t="s">
        <v>134</v>
      </c>
      <c r="H198" s="100" t="s">
        <v>134</v>
      </c>
      <c r="I198" s="100" t="s">
        <v>670</v>
      </c>
      <c r="J198" s="100" t="s">
        <v>670</v>
      </c>
      <c r="K198" s="100" t="s">
        <v>341</v>
      </c>
      <c r="L198" s="114" t="s">
        <v>952</v>
      </c>
      <c r="M198" s="100" t="s">
        <v>137</v>
      </c>
      <c r="N198" s="100"/>
      <c r="O198" s="102" t="s">
        <v>15</v>
      </c>
      <c r="P198" s="102" t="s">
        <v>15</v>
      </c>
      <c r="Q198" s="102" t="s">
        <v>15</v>
      </c>
      <c r="R198" s="102" t="s">
        <v>15</v>
      </c>
      <c r="S198" s="102" t="s">
        <v>15</v>
      </c>
      <c r="T198" s="102" t="s">
        <v>15</v>
      </c>
      <c r="U198" s="103" t="s">
        <v>41</v>
      </c>
      <c r="V198" s="103" t="s">
        <v>41</v>
      </c>
      <c r="W198" s="103" t="s">
        <v>41</v>
      </c>
      <c r="X198" s="103" t="s">
        <v>41</v>
      </c>
      <c r="Y198" s="103" t="s">
        <v>41</v>
      </c>
      <c r="Z198" s="103" t="s">
        <v>41</v>
      </c>
      <c r="AA198" s="100" t="s">
        <v>134</v>
      </c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</row>
    <row r="199" spans="1:41" ht="15.75" customHeight="1">
      <c r="A199" s="100">
        <v>198</v>
      </c>
      <c r="B199" s="104" t="s">
        <v>673</v>
      </c>
      <c r="C199" s="101" t="s">
        <v>141</v>
      </c>
      <c r="D199" s="101" t="s">
        <v>141</v>
      </c>
      <c r="E199" s="101" t="s">
        <v>141</v>
      </c>
      <c r="F199" s="101" t="s">
        <v>141</v>
      </c>
      <c r="G199" s="101" t="s">
        <v>141</v>
      </c>
      <c r="H199" s="101" t="s">
        <v>134</v>
      </c>
      <c r="I199" s="100" t="s">
        <v>674</v>
      </c>
      <c r="J199" s="100" t="s">
        <v>675</v>
      </c>
      <c r="K199" s="100" t="s">
        <v>144</v>
      </c>
      <c r="L199" s="100" t="s">
        <v>672</v>
      </c>
      <c r="M199" s="100" t="s">
        <v>137</v>
      </c>
      <c r="N199" s="104"/>
      <c r="O199" s="102" t="s">
        <v>15</v>
      </c>
      <c r="P199" s="102" t="s">
        <v>15</v>
      </c>
      <c r="Q199" s="102" t="s">
        <v>15</v>
      </c>
      <c r="R199" s="102" t="s">
        <v>15</v>
      </c>
      <c r="S199" s="102" t="s">
        <v>15</v>
      </c>
      <c r="T199" s="102" t="s">
        <v>15</v>
      </c>
      <c r="U199" s="102" t="s">
        <v>15</v>
      </c>
      <c r="V199" s="102" t="s">
        <v>15</v>
      </c>
      <c r="W199" s="103" t="s">
        <v>41</v>
      </c>
      <c r="X199" s="102" t="s">
        <v>15</v>
      </c>
      <c r="Y199" s="102" t="s">
        <v>15</v>
      </c>
      <c r="Z199" s="102" t="s">
        <v>15</v>
      </c>
      <c r="AA199" s="100" t="s">
        <v>134</v>
      </c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</row>
    <row r="200" spans="1:41" ht="15.75" customHeight="1">
      <c r="A200" s="100">
        <v>199</v>
      </c>
      <c r="B200" s="104" t="s">
        <v>676</v>
      </c>
      <c r="C200" s="101" t="s">
        <v>141</v>
      </c>
      <c r="D200" s="101" t="s">
        <v>141</v>
      </c>
      <c r="E200" s="101" t="s">
        <v>141</v>
      </c>
      <c r="F200" s="101" t="s">
        <v>134</v>
      </c>
      <c r="G200" s="101" t="s">
        <v>141</v>
      </c>
      <c r="H200" s="101" t="s">
        <v>141</v>
      </c>
      <c r="I200" s="100" t="s">
        <v>677</v>
      </c>
      <c r="J200" s="100" t="s">
        <v>678</v>
      </c>
      <c r="K200" s="100" t="s">
        <v>144</v>
      </c>
      <c r="L200" s="100" t="s">
        <v>672</v>
      </c>
      <c r="M200" s="100" t="s">
        <v>137</v>
      </c>
      <c r="N200" s="104"/>
      <c r="O200" s="102" t="s">
        <v>15</v>
      </c>
      <c r="P200" s="102" t="s">
        <v>15</v>
      </c>
      <c r="Q200" s="102" t="s">
        <v>15</v>
      </c>
      <c r="R200" s="102" t="s">
        <v>15</v>
      </c>
      <c r="S200" s="102" t="s">
        <v>15</v>
      </c>
      <c r="T200" s="102" t="s">
        <v>15</v>
      </c>
      <c r="U200" s="103" t="s">
        <v>41</v>
      </c>
      <c r="V200" s="102" t="s">
        <v>15</v>
      </c>
      <c r="W200" s="102" t="s">
        <v>15</v>
      </c>
      <c r="X200" s="102" t="s">
        <v>15</v>
      </c>
      <c r="Y200" s="102" t="s">
        <v>15</v>
      </c>
      <c r="Z200" s="102" t="s">
        <v>15</v>
      </c>
      <c r="AA200" s="100" t="s">
        <v>134</v>
      </c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</row>
    <row r="201" spans="1:41" ht="15.75" customHeight="1">
      <c r="A201" s="100">
        <v>200</v>
      </c>
      <c r="B201" s="104" t="s">
        <v>679</v>
      </c>
      <c r="C201" s="101" t="s">
        <v>141</v>
      </c>
      <c r="D201" s="101" t="s">
        <v>141</v>
      </c>
      <c r="E201" s="101" t="s">
        <v>141</v>
      </c>
      <c r="F201" s="101" t="s">
        <v>141</v>
      </c>
      <c r="G201" s="101" t="s">
        <v>134</v>
      </c>
      <c r="H201" s="101" t="s">
        <v>141</v>
      </c>
      <c r="I201" s="100" t="s">
        <v>680</v>
      </c>
      <c r="J201" s="100" t="s">
        <v>681</v>
      </c>
      <c r="K201" s="100" t="s">
        <v>144</v>
      </c>
      <c r="L201" s="100" t="s">
        <v>672</v>
      </c>
      <c r="M201" s="100" t="s">
        <v>137</v>
      </c>
      <c r="N201" s="104"/>
      <c r="O201" s="102" t="s">
        <v>15</v>
      </c>
      <c r="P201" s="102" t="s">
        <v>15</v>
      </c>
      <c r="Q201" s="102" t="s">
        <v>15</v>
      </c>
      <c r="R201" s="102" t="s">
        <v>15</v>
      </c>
      <c r="S201" s="102" t="s">
        <v>15</v>
      </c>
      <c r="T201" s="102" t="s">
        <v>15</v>
      </c>
      <c r="U201" s="102" t="s">
        <v>15</v>
      </c>
      <c r="V201" s="103" t="s">
        <v>41</v>
      </c>
      <c r="W201" s="102" t="s">
        <v>15</v>
      </c>
      <c r="X201" s="102" t="s">
        <v>15</v>
      </c>
      <c r="Y201" s="102" t="s">
        <v>15</v>
      </c>
      <c r="Z201" s="102" t="s">
        <v>15</v>
      </c>
      <c r="AA201" s="100" t="s">
        <v>134</v>
      </c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</row>
    <row r="202" spans="1:41" ht="15.75" customHeight="1">
      <c r="A202" s="112"/>
      <c r="B202" s="112"/>
      <c r="D202" s="115"/>
      <c r="E202" s="115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</row>
    <row r="203" spans="1:41" ht="15.75" customHeight="1">
      <c r="A203" s="112"/>
      <c r="B203" s="112"/>
      <c r="D203" s="115"/>
      <c r="E203" s="115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</row>
    <row r="204" spans="1:41" ht="15.75" customHeight="1">
      <c r="A204" s="112"/>
      <c r="B204" s="112"/>
      <c r="D204" s="115"/>
      <c r="E204" s="115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</row>
    <row r="205" spans="1:41" ht="15.75" customHeight="1">
      <c r="A205" s="112"/>
      <c r="B205" s="112"/>
      <c r="D205" s="115"/>
      <c r="E205" s="115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</row>
    <row r="206" spans="1:41" ht="15.75" customHeight="1">
      <c r="A206" s="112"/>
      <c r="B206" s="112"/>
      <c r="D206" s="115"/>
      <c r="E206" s="115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</row>
    <row r="207" spans="1:41" ht="15.75" customHeight="1">
      <c r="A207" s="112"/>
      <c r="B207" s="112"/>
      <c r="D207" s="115"/>
      <c r="E207" s="115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</row>
    <row r="208" spans="1:41" ht="15.75" customHeight="1">
      <c r="A208" s="112"/>
      <c r="B208" s="112"/>
      <c r="D208" s="115"/>
      <c r="E208" s="115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</row>
    <row r="209" spans="1:41" ht="15.75" customHeight="1">
      <c r="A209" s="112"/>
      <c r="B209" s="112"/>
      <c r="D209" s="115"/>
      <c r="E209" s="115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</row>
    <row r="210" spans="1:41" ht="15.75" customHeight="1">
      <c r="A210" s="112"/>
      <c r="B210" s="112"/>
      <c r="D210" s="115"/>
      <c r="E210" s="115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</row>
    <row r="211" spans="1:41" ht="15.75" customHeight="1">
      <c r="A211" s="112"/>
      <c r="B211" s="112"/>
      <c r="D211" s="115"/>
      <c r="E211" s="115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</row>
    <row r="212" spans="1:41" ht="15.75" customHeight="1">
      <c r="A212" s="112"/>
      <c r="B212" s="112"/>
      <c r="D212" s="115"/>
      <c r="E212" s="115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</row>
    <row r="213" spans="1:41" ht="15.75" customHeight="1">
      <c r="A213" s="112"/>
      <c r="B213" s="112"/>
      <c r="D213" s="115"/>
      <c r="E213" s="115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</row>
    <row r="214" spans="1:41" ht="15.75" customHeight="1">
      <c r="A214" s="112"/>
      <c r="B214" s="112"/>
      <c r="D214" s="115"/>
      <c r="E214" s="115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</row>
    <row r="215" spans="1:41" ht="15.75" customHeight="1">
      <c r="A215" s="112"/>
      <c r="B215" s="112"/>
      <c r="D215" s="115"/>
      <c r="E215" s="115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</row>
    <row r="216" spans="1:41" ht="15.75" customHeight="1">
      <c r="A216" s="112"/>
      <c r="B216" s="112"/>
      <c r="D216" s="115"/>
      <c r="E216" s="115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</row>
    <row r="217" spans="1:41" ht="15.75" customHeight="1">
      <c r="A217" s="112"/>
      <c r="B217" s="112"/>
      <c r="D217" s="115"/>
      <c r="E217" s="115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</row>
    <row r="218" spans="1:41" ht="15.75" customHeight="1">
      <c r="A218" s="112"/>
      <c r="B218" s="112"/>
      <c r="D218" s="115"/>
      <c r="E218" s="115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</row>
    <row r="219" spans="1:41" ht="15.75" customHeight="1">
      <c r="A219" s="112"/>
      <c r="B219" s="112"/>
      <c r="D219" s="115"/>
      <c r="E219" s="115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</row>
    <row r="220" spans="1:41" ht="15.75" customHeight="1">
      <c r="A220" s="112"/>
      <c r="B220" s="112"/>
      <c r="D220" s="115"/>
      <c r="E220" s="115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</row>
    <row r="221" spans="1:41" ht="15.75" customHeight="1">
      <c r="A221" s="112"/>
      <c r="B221" s="112"/>
      <c r="D221" s="115"/>
      <c r="E221" s="115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</row>
    <row r="222" spans="1:41" ht="15.75" customHeight="1">
      <c r="A222" s="112"/>
      <c r="B222" s="112"/>
      <c r="D222" s="115"/>
      <c r="E222" s="115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</row>
    <row r="223" spans="1:41" ht="15.75" customHeight="1">
      <c r="A223" s="112"/>
      <c r="B223" s="112"/>
      <c r="D223" s="115"/>
      <c r="E223" s="115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</row>
    <row r="224" spans="1:41" ht="15.75" customHeight="1">
      <c r="A224" s="112"/>
      <c r="B224" s="112"/>
      <c r="D224" s="115"/>
      <c r="E224" s="115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</row>
    <row r="225" spans="1:41" ht="15.75" customHeight="1">
      <c r="A225" s="112"/>
      <c r="B225" s="112"/>
      <c r="D225" s="115"/>
      <c r="E225" s="115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</row>
    <row r="226" spans="1:41" ht="15.75" customHeight="1">
      <c r="A226" s="112"/>
      <c r="B226" s="112"/>
      <c r="D226" s="115"/>
      <c r="E226" s="115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</row>
    <row r="227" spans="1:41" ht="15.75" customHeight="1">
      <c r="A227" s="112"/>
      <c r="B227" s="112"/>
      <c r="D227" s="115"/>
      <c r="E227" s="115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</row>
    <row r="228" spans="1:41" ht="15.75" customHeight="1">
      <c r="A228" s="112"/>
      <c r="B228" s="112"/>
      <c r="D228" s="115"/>
      <c r="E228" s="115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</row>
    <row r="229" spans="1:41" ht="15.75" customHeight="1">
      <c r="A229" s="112"/>
      <c r="B229" s="112"/>
      <c r="D229" s="115"/>
      <c r="E229" s="115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</row>
    <row r="230" spans="1:41" ht="15.75" customHeight="1">
      <c r="A230" s="112"/>
      <c r="B230" s="112"/>
      <c r="D230" s="115"/>
      <c r="E230" s="115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</row>
    <row r="231" spans="1:41" ht="15.75" customHeight="1">
      <c r="A231" s="112"/>
      <c r="B231" s="112"/>
      <c r="D231" s="115"/>
      <c r="E231" s="115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</row>
    <row r="232" spans="1:41" ht="15.75" customHeight="1">
      <c r="A232" s="112"/>
      <c r="B232" s="112"/>
      <c r="D232" s="115"/>
      <c r="E232" s="115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</row>
    <row r="233" spans="1:41" ht="15.75" customHeight="1">
      <c r="A233" s="112"/>
      <c r="B233" s="112"/>
      <c r="D233" s="115"/>
      <c r="E233" s="115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</row>
    <row r="234" spans="1:41" ht="15.75" customHeight="1">
      <c r="A234" s="112"/>
      <c r="B234" s="112"/>
      <c r="D234" s="115"/>
      <c r="E234" s="115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</row>
    <row r="235" spans="1:41" ht="15.75" customHeight="1">
      <c r="A235" s="112"/>
      <c r="B235" s="112"/>
      <c r="D235" s="115"/>
      <c r="E235" s="115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</row>
    <row r="236" spans="1:41" ht="15.75" customHeight="1">
      <c r="A236" s="112"/>
      <c r="B236" s="112"/>
      <c r="D236" s="115"/>
      <c r="E236" s="115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</row>
    <row r="237" spans="1:41" ht="15.75" customHeight="1">
      <c r="A237" s="112"/>
      <c r="B237" s="112"/>
      <c r="D237" s="115"/>
      <c r="E237" s="115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</row>
    <row r="238" spans="1:41" ht="15.75" customHeight="1">
      <c r="A238" s="112"/>
      <c r="B238" s="112"/>
      <c r="D238" s="115"/>
      <c r="E238" s="115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</row>
    <row r="239" spans="1:41" ht="15.75" customHeight="1">
      <c r="A239" s="112"/>
      <c r="B239" s="112"/>
      <c r="D239" s="115"/>
      <c r="E239" s="115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</row>
    <row r="240" spans="1:41" ht="15.75" customHeight="1">
      <c r="A240" s="112"/>
      <c r="B240" s="112"/>
      <c r="D240" s="115"/>
      <c r="E240" s="115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</row>
    <row r="241" spans="1:41" ht="15.75" customHeight="1">
      <c r="A241" s="112"/>
      <c r="B241" s="112"/>
      <c r="D241" s="115"/>
      <c r="E241" s="115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</row>
    <row r="242" spans="1:41" ht="15.75" customHeight="1">
      <c r="A242" s="112"/>
      <c r="B242" s="112"/>
      <c r="D242" s="115"/>
      <c r="E242" s="115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</row>
    <row r="243" spans="1:41" ht="15.75" customHeight="1">
      <c r="A243" s="112"/>
      <c r="B243" s="112"/>
      <c r="D243" s="115"/>
      <c r="E243" s="115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</row>
    <row r="244" spans="1:41" ht="15.75" customHeight="1">
      <c r="A244" s="112"/>
      <c r="B244" s="112"/>
      <c r="D244" s="115"/>
      <c r="E244" s="115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</row>
    <row r="245" spans="1:41" ht="15.75" customHeight="1">
      <c r="A245" s="112"/>
      <c r="B245" s="112"/>
      <c r="D245" s="115"/>
      <c r="E245" s="115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</row>
    <row r="246" spans="1:41" ht="15.75" customHeight="1">
      <c r="A246" s="112"/>
      <c r="B246" s="112"/>
      <c r="D246" s="115"/>
      <c r="E246" s="115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</row>
    <row r="247" spans="1:41" ht="15.75" customHeight="1">
      <c r="A247" s="112"/>
      <c r="B247" s="112"/>
      <c r="D247" s="115"/>
      <c r="E247" s="115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</row>
    <row r="248" spans="1:41" ht="15.75" customHeight="1">
      <c r="A248" s="112"/>
      <c r="B248" s="112"/>
      <c r="D248" s="115"/>
      <c r="E248" s="115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</row>
    <row r="249" spans="1:41" ht="15.75" customHeight="1">
      <c r="A249" s="112"/>
      <c r="B249" s="112"/>
      <c r="D249" s="115"/>
      <c r="E249" s="115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</row>
    <row r="250" spans="1:41" ht="15.75" customHeight="1">
      <c r="A250" s="112"/>
      <c r="B250" s="112"/>
      <c r="D250" s="115"/>
      <c r="E250" s="115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</row>
    <row r="251" spans="1:41" ht="15.75" customHeight="1">
      <c r="A251" s="112"/>
      <c r="B251" s="112"/>
      <c r="D251" s="115"/>
      <c r="E251" s="115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</row>
    <row r="252" spans="1:41" ht="15.75" customHeight="1">
      <c r="A252" s="112"/>
      <c r="B252" s="112"/>
      <c r="D252" s="115"/>
      <c r="E252" s="115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</row>
    <row r="253" spans="1:41" ht="15.75" customHeight="1">
      <c r="A253" s="112"/>
      <c r="B253" s="112"/>
      <c r="D253" s="115"/>
      <c r="E253" s="115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</row>
    <row r="254" spans="1:41" ht="15.75" customHeight="1">
      <c r="A254" s="112"/>
      <c r="B254" s="112"/>
      <c r="D254" s="115"/>
      <c r="E254" s="115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</row>
    <row r="255" spans="1:41" ht="15.75" customHeight="1">
      <c r="A255" s="112"/>
      <c r="B255" s="112"/>
      <c r="D255" s="115"/>
      <c r="E255" s="115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</row>
    <row r="256" spans="1:41" ht="15.75" customHeight="1">
      <c r="A256" s="112"/>
      <c r="B256" s="112"/>
      <c r="D256" s="115"/>
      <c r="E256" s="115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</row>
    <row r="257" spans="1:41" ht="15.75" customHeight="1">
      <c r="A257" s="112"/>
      <c r="B257" s="112"/>
      <c r="D257" s="115"/>
      <c r="E257" s="115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</row>
    <row r="258" spans="1:41" ht="15.75" customHeight="1">
      <c r="A258" s="112"/>
      <c r="B258" s="112"/>
      <c r="D258" s="115"/>
      <c r="E258" s="115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</row>
    <row r="259" spans="1:41" ht="15.75" customHeight="1">
      <c r="A259" s="112"/>
      <c r="B259" s="112"/>
      <c r="D259" s="115"/>
      <c r="E259" s="115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</row>
    <row r="260" spans="1:41" ht="15.75" customHeight="1">
      <c r="A260" s="112"/>
      <c r="B260" s="112"/>
      <c r="D260" s="115"/>
      <c r="E260" s="115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</row>
    <row r="261" spans="1:41" ht="15.75" customHeight="1">
      <c r="A261" s="112"/>
      <c r="B261" s="112"/>
      <c r="D261" s="115"/>
      <c r="E261" s="115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</row>
    <row r="262" spans="1:41" ht="15.75" customHeight="1">
      <c r="A262" s="112"/>
      <c r="B262" s="112"/>
      <c r="D262" s="115"/>
      <c r="E262" s="115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</row>
    <row r="263" spans="1:41" ht="15.75" customHeight="1">
      <c r="A263" s="112"/>
      <c r="B263" s="112"/>
      <c r="D263" s="115"/>
      <c r="E263" s="115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</row>
    <row r="264" spans="1:41" ht="15.75" customHeight="1">
      <c r="A264" s="112"/>
      <c r="B264" s="112"/>
      <c r="D264" s="115"/>
      <c r="E264" s="115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</row>
    <row r="265" spans="1:41" ht="15.75" customHeight="1">
      <c r="A265" s="112"/>
      <c r="B265" s="112"/>
      <c r="D265" s="115"/>
      <c r="E265" s="115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</row>
    <row r="266" spans="1:41" ht="15.75" customHeight="1">
      <c r="A266" s="112"/>
      <c r="B266" s="112"/>
      <c r="D266" s="115"/>
      <c r="E266" s="115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</row>
    <row r="267" spans="1:41" ht="15.75" customHeight="1">
      <c r="A267" s="112"/>
      <c r="B267" s="112"/>
      <c r="D267" s="115"/>
      <c r="E267" s="115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</row>
    <row r="268" spans="1:41" ht="15.75" customHeight="1">
      <c r="A268" s="112"/>
      <c r="B268" s="112"/>
      <c r="D268" s="115"/>
      <c r="E268" s="115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</row>
    <row r="269" spans="1:41" ht="15.75" customHeight="1">
      <c r="A269" s="112"/>
      <c r="B269" s="112"/>
      <c r="D269" s="115"/>
      <c r="E269" s="115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</row>
    <row r="270" spans="1:41" ht="15.75" customHeight="1">
      <c r="A270" s="112"/>
      <c r="B270" s="112"/>
      <c r="D270" s="115"/>
      <c r="E270" s="115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</row>
    <row r="271" spans="1:41" ht="15.75" customHeight="1">
      <c r="A271" s="112"/>
      <c r="B271" s="112"/>
      <c r="D271" s="115"/>
      <c r="E271" s="115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</row>
    <row r="272" spans="1:41" ht="15.75" customHeight="1">
      <c r="A272" s="112"/>
      <c r="B272" s="112"/>
      <c r="D272" s="115"/>
      <c r="E272" s="115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</row>
    <row r="273" spans="1:41" ht="15.75" customHeight="1">
      <c r="A273" s="112"/>
      <c r="B273" s="112"/>
      <c r="D273" s="115"/>
      <c r="E273" s="115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</row>
    <row r="274" spans="1:41" ht="15.75" customHeight="1">
      <c r="A274" s="112"/>
      <c r="B274" s="112"/>
      <c r="D274" s="115"/>
      <c r="E274" s="115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</row>
    <row r="275" spans="1:41" ht="15.75" customHeight="1">
      <c r="A275" s="112"/>
      <c r="B275" s="112"/>
      <c r="D275" s="115"/>
      <c r="E275" s="115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</row>
    <row r="276" spans="1:41" ht="15.75" customHeight="1">
      <c r="A276" s="112"/>
      <c r="B276" s="112"/>
      <c r="D276" s="115"/>
      <c r="E276" s="115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</row>
    <row r="277" spans="1:41" ht="15.75" customHeight="1">
      <c r="A277" s="112"/>
      <c r="B277" s="112"/>
      <c r="D277" s="115"/>
      <c r="E277" s="115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</row>
    <row r="278" spans="1:41" ht="15.75" customHeight="1">
      <c r="A278" s="112"/>
      <c r="B278" s="112"/>
      <c r="D278" s="115"/>
      <c r="E278" s="115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</row>
    <row r="279" spans="1:41" ht="15.75" customHeight="1">
      <c r="A279" s="112"/>
      <c r="B279" s="112"/>
      <c r="D279" s="115"/>
      <c r="E279" s="115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</row>
    <row r="280" spans="1:41" ht="15.75" customHeight="1">
      <c r="A280" s="112"/>
      <c r="B280" s="112"/>
      <c r="D280" s="115"/>
      <c r="E280" s="115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</row>
    <row r="281" spans="1:41" ht="15.75" customHeight="1">
      <c r="A281" s="112"/>
      <c r="B281" s="112"/>
      <c r="D281" s="115"/>
      <c r="E281" s="115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</row>
    <row r="282" spans="1:41" ht="15.75" customHeight="1">
      <c r="A282" s="112"/>
      <c r="B282" s="112"/>
      <c r="D282" s="115"/>
      <c r="E282" s="115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</row>
    <row r="283" spans="1:41" ht="15.75" customHeight="1">
      <c r="A283" s="112"/>
      <c r="B283" s="112"/>
      <c r="D283" s="115"/>
      <c r="E283" s="115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</row>
    <row r="284" spans="1:41" ht="15.75" customHeight="1">
      <c r="A284" s="112"/>
      <c r="B284" s="112"/>
      <c r="D284" s="115"/>
      <c r="E284" s="115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</row>
    <row r="285" spans="1:41" ht="15.75" customHeight="1">
      <c r="A285" s="112"/>
      <c r="B285" s="112"/>
      <c r="D285" s="115"/>
      <c r="E285" s="115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</row>
    <row r="286" spans="1:41" ht="15.75" customHeight="1">
      <c r="A286" s="112"/>
      <c r="B286" s="112"/>
      <c r="D286" s="115"/>
      <c r="E286" s="115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</row>
    <row r="287" spans="1:41" ht="15.75" customHeight="1">
      <c r="A287" s="112"/>
      <c r="B287" s="112"/>
      <c r="D287" s="115"/>
      <c r="E287" s="115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</row>
    <row r="288" spans="1:41" ht="15.75" customHeight="1">
      <c r="A288" s="112"/>
      <c r="B288" s="112"/>
      <c r="D288" s="115"/>
      <c r="E288" s="115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</row>
    <row r="289" spans="1:41" ht="15.75" customHeight="1">
      <c r="A289" s="112"/>
      <c r="B289" s="112"/>
      <c r="D289" s="115"/>
      <c r="E289" s="115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</row>
    <row r="290" spans="1:41" ht="15.75" customHeight="1">
      <c r="A290" s="112"/>
      <c r="B290" s="112"/>
      <c r="D290" s="115"/>
      <c r="E290" s="115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</row>
    <row r="291" spans="1:41" ht="15.75" customHeight="1">
      <c r="A291" s="112"/>
      <c r="B291" s="112"/>
      <c r="D291" s="115"/>
      <c r="E291" s="115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</row>
    <row r="292" spans="1:41" ht="15.75" customHeight="1">
      <c r="A292" s="112"/>
      <c r="B292" s="112"/>
      <c r="D292" s="115"/>
      <c r="E292" s="115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</row>
    <row r="293" spans="1:41" ht="15.75" customHeight="1">
      <c r="A293" s="112"/>
      <c r="B293" s="112"/>
      <c r="D293" s="115"/>
      <c r="E293" s="115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</row>
    <row r="294" spans="1:41" ht="15.75" customHeight="1">
      <c r="A294" s="112"/>
      <c r="B294" s="112"/>
      <c r="D294" s="115"/>
      <c r="E294" s="115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</row>
    <row r="295" spans="1:41" ht="15.75" customHeight="1">
      <c r="A295" s="112"/>
      <c r="B295" s="112"/>
      <c r="D295" s="115"/>
      <c r="E295" s="115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</row>
    <row r="296" spans="1:41" ht="15.75" customHeight="1">
      <c r="A296" s="112"/>
      <c r="B296" s="112"/>
      <c r="D296" s="115"/>
      <c r="E296" s="115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</row>
    <row r="297" spans="1:41" ht="15.75" customHeight="1">
      <c r="A297" s="112"/>
      <c r="B297" s="112"/>
      <c r="D297" s="115"/>
      <c r="E297" s="115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</row>
    <row r="298" spans="1:41" ht="15.75" customHeight="1">
      <c r="A298" s="112"/>
      <c r="B298" s="112"/>
      <c r="D298" s="115"/>
      <c r="E298" s="115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</row>
    <row r="299" spans="1:41" ht="15.75" customHeight="1">
      <c r="A299" s="112"/>
      <c r="B299" s="112"/>
      <c r="D299" s="115"/>
      <c r="E299" s="115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</row>
    <row r="300" spans="1:41" ht="15.75" customHeight="1">
      <c r="A300" s="112"/>
      <c r="B300" s="112"/>
      <c r="D300" s="115"/>
      <c r="E300" s="115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</row>
    <row r="301" spans="1:41" ht="15.75" customHeight="1">
      <c r="A301" s="112"/>
      <c r="B301" s="112"/>
      <c r="D301" s="115"/>
      <c r="E301" s="115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</row>
    <row r="302" spans="1:41" ht="15.75" customHeight="1">
      <c r="A302" s="112"/>
      <c r="B302" s="112"/>
      <c r="D302" s="115"/>
      <c r="E302" s="115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</row>
    <row r="303" spans="1:41" ht="15.75" customHeight="1">
      <c r="A303" s="112"/>
      <c r="B303" s="112"/>
      <c r="D303" s="115"/>
      <c r="E303" s="115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</row>
    <row r="304" spans="1:41" ht="15.75" customHeight="1">
      <c r="A304" s="112"/>
      <c r="B304" s="112"/>
      <c r="D304" s="115"/>
      <c r="E304" s="115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</row>
    <row r="305" spans="1:41" ht="15.75" customHeight="1">
      <c r="A305" s="112"/>
      <c r="B305" s="112"/>
      <c r="D305" s="115"/>
      <c r="E305" s="115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</row>
    <row r="306" spans="1:41" ht="15.75" customHeight="1">
      <c r="A306" s="112"/>
      <c r="B306" s="112"/>
      <c r="D306" s="115"/>
      <c r="E306" s="115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</row>
    <row r="307" spans="1:41" ht="15.75" customHeight="1">
      <c r="A307" s="112"/>
      <c r="B307" s="112"/>
      <c r="D307" s="115"/>
      <c r="E307" s="115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</row>
    <row r="308" spans="1:41" ht="15.75" customHeight="1">
      <c r="A308" s="112"/>
      <c r="B308" s="112"/>
      <c r="D308" s="115"/>
      <c r="E308" s="115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</row>
    <row r="309" spans="1:41" ht="15.75" customHeight="1">
      <c r="A309" s="112"/>
      <c r="B309" s="112"/>
      <c r="D309" s="115"/>
      <c r="E309" s="115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</row>
    <row r="310" spans="1:41" ht="15.75" customHeight="1">
      <c r="A310" s="112"/>
      <c r="B310" s="112"/>
      <c r="D310" s="115"/>
      <c r="E310" s="115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</row>
    <row r="311" spans="1:41" ht="15.75" customHeight="1">
      <c r="A311" s="112"/>
      <c r="B311" s="112"/>
      <c r="D311" s="115"/>
      <c r="E311" s="115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</row>
    <row r="312" spans="1:41" ht="15.75" customHeight="1">
      <c r="A312" s="112"/>
      <c r="B312" s="112"/>
      <c r="D312" s="115"/>
      <c r="E312" s="115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</row>
    <row r="313" spans="1:41" ht="15.75" customHeight="1">
      <c r="A313" s="112"/>
      <c r="B313" s="112"/>
      <c r="D313" s="115"/>
      <c r="E313" s="115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</row>
    <row r="314" spans="1:41" ht="15.75" customHeight="1">
      <c r="A314" s="112"/>
      <c r="B314" s="112"/>
      <c r="D314" s="115"/>
      <c r="E314" s="115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</row>
    <row r="315" spans="1:41" ht="15.75" customHeight="1">
      <c r="A315" s="112"/>
      <c r="B315" s="112"/>
      <c r="D315" s="115"/>
      <c r="E315" s="115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</row>
    <row r="316" spans="1:41" ht="15.75" customHeight="1">
      <c r="A316" s="112"/>
      <c r="B316" s="112"/>
      <c r="D316" s="115"/>
      <c r="E316" s="115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</row>
    <row r="317" spans="1:41" ht="15.75" customHeight="1">
      <c r="A317" s="112"/>
      <c r="B317" s="112"/>
      <c r="D317" s="115"/>
      <c r="E317" s="115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</row>
    <row r="318" spans="1:41" ht="15.75" customHeight="1">
      <c r="A318" s="112"/>
      <c r="B318" s="112"/>
      <c r="D318" s="115"/>
      <c r="E318" s="115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</row>
    <row r="319" spans="1:41" ht="15.75" customHeight="1">
      <c r="A319" s="112"/>
      <c r="B319" s="112"/>
      <c r="D319" s="115"/>
      <c r="E319" s="115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</row>
    <row r="320" spans="1:41" ht="15.75" customHeight="1">
      <c r="A320" s="112"/>
      <c r="B320" s="112"/>
      <c r="D320" s="115"/>
      <c r="E320" s="115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</row>
    <row r="321" spans="1:41" ht="15.75" customHeight="1">
      <c r="A321" s="112"/>
      <c r="B321" s="112"/>
      <c r="D321" s="115"/>
      <c r="E321" s="115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</row>
    <row r="322" spans="1:41" ht="15.75" customHeight="1">
      <c r="A322" s="112"/>
      <c r="B322" s="112"/>
      <c r="D322" s="115"/>
      <c r="E322" s="115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</row>
    <row r="323" spans="1:41" ht="15.75" customHeight="1">
      <c r="A323" s="112"/>
      <c r="B323" s="112"/>
      <c r="D323" s="115"/>
      <c r="E323" s="115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</row>
    <row r="324" spans="1:41" ht="15.75" customHeight="1">
      <c r="A324" s="112"/>
      <c r="B324" s="112"/>
      <c r="D324" s="115"/>
      <c r="E324" s="115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</row>
    <row r="325" spans="1:41" ht="15.75" customHeight="1">
      <c r="A325" s="112"/>
      <c r="B325" s="112"/>
      <c r="D325" s="115"/>
      <c r="E325" s="115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</row>
    <row r="326" spans="1:41" ht="15.75" customHeight="1">
      <c r="A326" s="112"/>
      <c r="B326" s="112"/>
      <c r="D326" s="115"/>
      <c r="E326" s="115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</row>
    <row r="327" spans="1:41" ht="15.75" customHeight="1">
      <c r="A327" s="112"/>
      <c r="B327" s="112"/>
      <c r="D327" s="115"/>
      <c r="E327" s="115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</row>
    <row r="328" spans="1:41" ht="15.75" customHeight="1">
      <c r="A328" s="112"/>
      <c r="B328" s="112"/>
      <c r="D328" s="115"/>
      <c r="E328" s="115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</row>
    <row r="329" spans="1:41" ht="15.75" customHeight="1">
      <c r="A329" s="112"/>
      <c r="B329" s="112"/>
      <c r="D329" s="115"/>
      <c r="E329" s="115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</row>
    <row r="330" spans="1:41" ht="15.75" customHeight="1">
      <c r="A330" s="112"/>
      <c r="B330" s="112"/>
      <c r="D330" s="115"/>
      <c r="E330" s="115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</row>
    <row r="331" spans="1:41" ht="15.75" customHeight="1">
      <c r="A331" s="112"/>
      <c r="B331" s="112"/>
      <c r="D331" s="115"/>
      <c r="E331" s="115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</row>
    <row r="332" spans="1:41" ht="15.75" customHeight="1">
      <c r="A332" s="112"/>
      <c r="B332" s="112"/>
      <c r="D332" s="115"/>
      <c r="E332" s="115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</row>
    <row r="333" spans="1:41" ht="15.75" customHeight="1">
      <c r="A333" s="112"/>
      <c r="B333" s="112"/>
      <c r="D333" s="115"/>
      <c r="E333" s="115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</row>
    <row r="334" spans="1:41" ht="15.75" customHeight="1">
      <c r="A334" s="112"/>
      <c r="B334" s="112"/>
      <c r="D334" s="115"/>
      <c r="E334" s="115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</row>
    <row r="335" spans="1:41" ht="15.75" customHeight="1">
      <c r="A335" s="112"/>
      <c r="B335" s="112"/>
      <c r="D335" s="115"/>
      <c r="E335" s="115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</row>
    <row r="336" spans="1:41" ht="15.75" customHeight="1">
      <c r="A336" s="112"/>
      <c r="B336" s="112"/>
      <c r="D336" s="115"/>
      <c r="E336" s="115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</row>
    <row r="337" spans="1:41" ht="15.75" customHeight="1">
      <c r="A337" s="112"/>
      <c r="B337" s="112"/>
      <c r="D337" s="115"/>
      <c r="E337" s="115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</row>
    <row r="338" spans="1:41" ht="15.75" customHeight="1">
      <c r="A338" s="112"/>
      <c r="B338" s="112"/>
      <c r="D338" s="115"/>
      <c r="E338" s="115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</row>
    <row r="339" spans="1:41" ht="15.75" customHeight="1">
      <c r="A339" s="112"/>
      <c r="B339" s="112"/>
      <c r="D339" s="115"/>
      <c r="E339" s="115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</row>
    <row r="340" spans="1:41" ht="15.75" customHeight="1">
      <c r="A340" s="112"/>
      <c r="B340" s="112"/>
      <c r="D340" s="115"/>
      <c r="E340" s="115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</row>
    <row r="341" spans="1:41" ht="15.75" customHeight="1">
      <c r="A341" s="112"/>
      <c r="B341" s="112"/>
      <c r="D341" s="115"/>
      <c r="E341" s="115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</row>
    <row r="342" spans="1:41" ht="15.75" customHeight="1">
      <c r="A342" s="112"/>
      <c r="B342" s="112"/>
      <c r="D342" s="115"/>
      <c r="E342" s="115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</row>
    <row r="343" spans="1:41" ht="15.75" customHeight="1">
      <c r="A343" s="112"/>
      <c r="B343" s="112"/>
      <c r="D343" s="115"/>
      <c r="E343" s="115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</row>
    <row r="344" spans="1:41" ht="15.75" customHeight="1">
      <c r="A344" s="112"/>
      <c r="B344" s="112"/>
      <c r="D344" s="115"/>
      <c r="E344" s="115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</row>
    <row r="345" spans="1:41" ht="15.75" customHeight="1">
      <c r="A345" s="112"/>
      <c r="B345" s="112"/>
      <c r="D345" s="115"/>
      <c r="E345" s="115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</row>
    <row r="346" spans="1:41" ht="15.75" customHeight="1">
      <c r="A346" s="112"/>
      <c r="B346" s="112"/>
      <c r="D346" s="115"/>
      <c r="E346" s="115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</row>
    <row r="347" spans="1:41" ht="15.75" customHeight="1">
      <c r="A347" s="112"/>
      <c r="B347" s="112"/>
      <c r="D347" s="115"/>
      <c r="E347" s="115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</row>
    <row r="348" spans="1:41" ht="15.75" customHeight="1">
      <c r="A348" s="112"/>
      <c r="B348" s="112"/>
      <c r="D348" s="115"/>
      <c r="E348" s="115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</row>
    <row r="349" spans="1:41" ht="15.75" customHeight="1">
      <c r="A349" s="112"/>
      <c r="B349" s="112"/>
      <c r="D349" s="115"/>
      <c r="E349" s="115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</row>
    <row r="350" spans="1:41" ht="15.75" customHeight="1">
      <c r="A350" s="112"/>
      <c r="B350" s="112"/>
      <c r="D350" s="115"/>
      <c r="E350" s="115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</row>
    <row r="351" spans="1:41" ht="15.75" customHeight="1">
      <c r="A351" s="112"/>
      <c r="B351" s="112"/>
      <c r="D351" s="115"/>
      <c r="E351" s="115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</row>
    <row r="352" spans="1:41" ht="15.75" customHeight="1">
      <c r="A352" s="112"/>
      <c r="B352" s="112"/>
      <c r="D352" s="115"/>
      <c r="E352" s="115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</row>
    <row r="353" spans="1:41" ht="15.75" customHeight="1">
      <c r="A353" s="112"/>
      <c r="B353" s="112"/>
      <c r="D353" s="115"/>
      <c r="E353" s="115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</row>
    <row r="354" spans="1:41" ht="15.75" customHeight="1">
      <c r="A354" s="112"/>
      <c r="B354" s="112"/>
      <c r="D354" s="115"/>
      <c r="E354" s="115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</row>
    <row r="355" spans="1:41" ht="15.75" customHeight="1">
      <c r="A355" s="112"/>
      <c r="B355" s="112"/>
      <c r="D355" s="115"/>
      <c r="E355" s="115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</row>
    <row r="356" spans="1:41" ht="15.75" customHeight="1">
      <c r="A356" s="112"/>
      <c r="B356" s="112"/>
      <c r="D356" s="115"/>
      <c r="E356" s="115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</row>
    <row r="357" spans="1:41" ht="15.75" customHeight="1">
      <c r="A357" s="112"/>
      <c r="B357" s="112"/>
      <c r="D357" s="115"/>
      <c r="E357" s="115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</row>
    <row r="358" spans="1:41" ht="15.75" customHeight="1">
      <c r="A358" s="112"/>
      <c r="B358" s="112"/>
      <c r="D358" s="115"/>
      <c r="E358" s="115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</row>
    <row r="359" spans="1:41" ht="15.75" customHeight="1">
      <c r="A359" s="112"/>
      <c r="B359" s="112"/>
      <c r="D359" s="115"/>
      <c r="E359" s="115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</row>
    <row r="360" spans="1:41" ht="15.75" customHeight="1">
      <c r="A360" s="112"/>
      <c r="B360" s="112"/>
      <c r="D360" s="115"/>
      <c r="E360" s="115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</row>
    <row r="361" spans="1:41" ht="15.75" customHeight="1">
      <c r="A361" s="112"/>
      <c r="B361" s="112"/>
      <c r="D361" s="115"/>
      <c r="E361" s="115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</row>
    <row r="362" spans="1:41" ht="15.75" customHeight="1">
      <c r="A362" s="112"/>
      <c r="B362" s="112"/>
      <c r="D362" s="115"/>
      <c r="E362" s="115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</row>
    <row r="363" spans="1:41" ht="15.75" customHeight="1">
      <c r="A363" s="112"/>
      <c r="B363" s="112"/>
      <c r="D363" s="115"/>
      <c r="E363" s="115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</row>
    <row r="364" spans="1:41" ht="15.75" customHeight="1">
      <c r="A364" s="112"/>
      <c r="B364" s="112"/>
      <c r="D364" s="115"/>
      <c r="E364" s="115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</row>
    <row r="365" spans="1:41" ht="15.75" customHeight="1">
      <c r="A365" s="112"/>
      <c r="B365" s="112"/>
      <c r="D365" s="115"/>
      <c r="E365" s="115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</row>
    <row r="366" spans="1:41" ht="15.75" customHeight="1">
      <c r="A366" s="112"/>
      <c r="B366" s="112"/>
      <c r="D366" s="115"/>
      <c r="E366" s="115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</row>
    <row r="367" spans="1:41" ht="15.75" customHeight="1">
      <c r="A367" s="112"/>
      <c r="B367" s="112"/>
      <c r="D367" s="115"/>
      <c r="E367" s="115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</row>
    <row r="368" spans="1:41" ht="15.75" customHeight="1">
      <c r="A368" s="112"/>
      <c r="B368" s="112"/>
      <c r="D368" s="115"/>
      <c r="E368" s="115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</row>
    <row r="369" spans="1:41" ht="15.75" customHeight="1">
      <c r="A369" s="112"/>
      <c r="B369" s="112"/>
      <c r="D369" s="115"/>
      <c r="E369" s="115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</row>
    <row r="370" spans="1:41" ht="15.75" customHeight="1">
      <c r="A370" s="112"/>
      <c r="B370" s="112"/>
      <c r="D370" s="115"/>
      <c r="E370" s="115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</row>
    <row r="371" spans="1:41" ht="15.75" customHeight="1">
      <c r="A371" s="112"/>
      <c r="B371" s="112"/>
      <c r="D371" s="115"/>
      <c r="E371" s="115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</row>
    <row r="372" spans="1:41" ht="15.75" customHeight="1">
      <c r="A372" s="112"/>
      <c r="B372" s="112"/>
      <c r="D372" s="115"/>
      <c r="E372" s="115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</row>
    <row r="373" spans="1:41" ht="15.75" customHeight="1">
      <c r="A373" s="112"/>
      <c r="B373" s="112"/>
      <c r="D373" s="115"/>
      <c r="E373" s="115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</row>
    <row r="374" spans="1:41" ht="15.75" customHeight="1">
      <c r="A374" s="112"/>
      <c r="B374" s="112"/>
      <c r="D374" s="115"/>
      <c r="E374" s="115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</row>
    <row r="375" spans="1:41" ht="15.75" customHeight="1">
      <c r="A375" s="112"/>
      <c r="B375" s="112"/>
      <c r="D375" s="115"/>
      <c r="E375" s="115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</row>
    <row r="376" spans="1:41" ht="15.75" customHeight="1">
      <c r="A376" s="112"/>
      <c r="B376" s="112"/>
      <c r="D376" s="115"/>
      <c r="E376" s="115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</row>
    <row r="377" spans="1:41" ht="15.75" customHeight="1">
      <c r="A377" s="112"/>
      <c r="B377" s="112"/>
      <c r="D377" s="115"/>
      <c r="E377" s="115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</row>
    <row r="378" spans="1:41" ht="15.75" customHeight="1">
      <c r="A378" s="112"/>
      <c r="B378" s="112"/>
      <c r="D378" s="115"/>
      <c r="E378" s="115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</row>
    <row r="379" spans="1:41" ht="15.75" customHeight="1">
      <c r="A379" s="112"/>
      <c r="B379" s="112"/>
      <c r="D379" s="115"/>
      <c r="E379" s="115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</row>
    <row r="380" spans="1:41" ht="15.75" customHeight="1">
      <c r="A380" s="112"/>
      <c r="B380" s="112"/>
      <c r="D380" s="115"/>
      <c r="E380" s="115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</row>
    <row r="381" spans="1:41" ht="15.75" customHeight="1">
      <c r="A381" s="112"/>
      <c r="B381" s="112"/>
      <c r="D381" s="115"/>
      <c r="E381" s="115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</row>
    <row r="382" spans="1:41" ht="15.75" customHeight="1">
      <c r="A382" s="112"/>
      <c r="B382" s="112"/>
      <c r="D382" s="115"/>
      <c r="E382" s="115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</row>
    <row r="383" spans="1:41" ht="15.75" customHeight="1">
      <c r="A383" s="112"/>
      <c r="B383" s="112"/>
      <c r="D383" s="115"/>
      <c r="E383" s="115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</row>
    <row r="384" spans="1:41" ht="15.75" customHeight="1">
      <c r="A384" s="112"/>
      <c r="B384" s="112"/>
      <c r="D384" s="115"/>
      <c r="E384" s="115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</row>
    <row r="385" spans="1:41" ht="15.75" customHeight="1">
      <c r="A385" s="112"/>
      <c r="B385" s="112"/>
      <c r="D385" s="115"/>
      <c r="E385" s="115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</row>
    <row r="386" spans="1:41" ht="15.75" customHeight="1">
      <c r="A386" s="112"/>
      <c r="B386" s="112"/>
      <c r="D386" s="115"/>
      <c r="E386" s="115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</row>
    <row r="387" spans="1:41" ht="15.75" customHeight="1">
      <c r="A387" s="112"/>
      <c r="B387" s="112"/>
      <c r="D387" s="115"/>
      <c r="E387" s="115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</row>
    <row r="388" spans="1:41" ht="15.75" customHeight="1">
      <c r="A388" s="112"/>
      <c r="B388" s="112"/>
      <c r="D388" s="115"/>
      <c r="E388" s="115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</row>
    <row r="389" spans="1:41" ht="15.75" customHeight="1">
      <c r="A389" s="112"/>
      <c r="B389" s="112"/>
      <c r="D389" s="115"/>
      <c r="E389" s="115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</row>
    <row r="390" spans="1:41" ht="15.75" customHeight="1">
      <c r="A390" s="112"/>
      <c r="B390" s="112"/>
      <c r="D390" s="115"/>
      <c r="E390" s="115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</row>
    <row r="391" spans="1:41" ht="15.75" customHeight="1">
      <c r="A391" s="112"/>
      <c r="B391" s="112"/>
      <c r="D391" s="115"/>
      <c r="E391" s="115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</row>
    <row r="392" spans="1:41" ht="15.75" customHeight="1">
      <c r="A392" s="112"/>
      <c r="B392" s="112"/>
      <c r="D392" s="115"/>
      <c r="E392" s="115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</row>
    <row r="393" spans="1:41" ht="15.75" customHeight="1">
      <c r="A393" s="112"/>
      <c r="B393" s="112"/>
      <c r="D393" s="115"/>
      <c r="E393" s="115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</row>
    <row r="394" spans="1:41" ht="15.75" customHeight="1">
      <c r="A394" s="112"/>
      <c r="B394" s="112"/>
      <c r="D394" s="115"/>
      <c r="E394" s="115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</row>
    <row r="395" spans="1:41" ht="15.75" customHeight="1">
      <c r="A395" s="112"/>
      <c r="B395" s="112"/>
      <c r="D395" s="115"/>
      <c r="E395" s="115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</row>
    <row r="396" spans="1:41" ht="15.75" customHeight="1">
      <c r="A396" s="112"/>
      <c r="B396" s="112"/>
      <c r="D396" s="115"/>
      <c r="E396" s="115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</row>
    <row r="397" spans="1:41" ht="15.75" customHeight="1">
      <c r="A397" s="112"/>
      <c r="B397" s="112"/>
      <c r="D397" s="115"/>
      <c r="E397" s="115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</row>
    <row r="398" spans="1:41" ht="15.75" customHeight="1">
      <c r="A398" s="112"/>
      <c r="B398" s="112"/>
      <c r="D398" s="115"/>
      <c r="E398" s="115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</row>
    <row r="399" spans="1:41" ht="15.75" customHeight="1">
      <c r="A399" s="112"/>
      <c r="B399" s="112"/>
      <c r="D399" s="115"/>
      <c r="E399" s="115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</row>
    <row r="400" spans="1:41" ht="15.75" customHeight="1">
      <c r="A400" s="112"/>
      <c r="B400" s="112"/>
      <c r="D400" s="115"/>
      <c r="E400" s="115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</row>
    <row r="401" spans="1:41" ht="15.75" customHeight="1">
      <c r="A401" s="112"/>
      <c r="B401" s="112"/>
      <c r="D401" s="115"/>
      <c r="E401" s="115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</row>
    <row r="402" spans="1:41" ht="15.75" customHeight="1">
      <c r="A402" s="112"/>
      <c r="B402" s="112"/>
      <c r="D402" s="115"/>
      <c r="E402" s="115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</row>
    <row r="403" spans="1:41" ht="15.75" customHeight="1">
      <c r="A403" s="112"/>
      <c r="B403" s="112"/>
      <c r="D403" s="115"/>
      <c r="E403" s="115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</row>
    <row r="404" spans="1:41" ht="15.75" customHeight="1">
      <c r="A404" s="112"/>
      <c r="B404" s="112"/>
      <c r="D404" s="115"/>
      <c r="E404" s="115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</row>
    <row r="405" spans="1:41" ht="15.75" customHeight="1">
      <c r="A405" s="112"/>
      <c r="B405" s="112"/>
      <c r="D405" s="115"/>
      <c r="E405" s="115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</row>
    <row r="406" spans="1:41" ht="15.75" customHeight="1">
      <c r="A406" s="112"/>
      <c r="B406" s="112"/>
      <c r="D406" s="115"/>
      <c r="E406" s="115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</row>
    <row r="407" spans="1:41" ht="15.75" customHeight="1">
      <c r="A407" s="112"/>
      <c r="B407" s="112"/>
      <c r="D407" s="115"/>
      <c r="E407" s="115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</row>
    <row r="408" spans="1:41" ht="15.75" customHeight="1">
      <c r="A408" s="112"/>
      <c r="B408" s="112"/>
      <c r="D408" s="115"/>
      <c r="E408" s="115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</row>
    <row r="409" spans="1:41" ht="15.75" customHeight="1">
      <c r="A409" s="112"/>
      <c r="B409" s="112"/>
      <c r="D409" s="115"/>
      <c r="E409" s="115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</row>
    <row r="410" spans="1:41" ht="15.75" customHeight="1">
      <c r="A410" s="112"/>
      <c r="B410" s="112"/>
      <c r="D410" s="115"/>
      <c r="E410" s="115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</row>
    <row r="411" spans="1:41" ht="15.75" customHeight="1">
      <c r="A411" s="112"/>
      <c r="B411" s="112"/>
      <c r="D411" s="115"/>
      <c r="E411" s="115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</row>
    <row r="412" spans="1:41" ht="15.75" customHeight="1">
      <c r="A412" s="112"/>
      <c r="B412" s="112"/>
      <c r="D412" s="115"/>
      <c r="E412" s="115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</row>
    <row r="413" spans="1:41" ht="15.75" customHeight="1">
      <c r="A413" s="112"/>
      <c r="B413" s="112"/>
      <c r="D413" s="115"/>
      <c r="E413" s="115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</row>
    <row r="414" spans="1:41" ht="15.75" customHeight="1">
      <c r="A414" s="112"/>
      <c r="B414" s="112"/>
      <c r="D414" s="115"/>
      <c r="E414" s="115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</row>
    <row r="415" spans="1:41" ht="15.75" customHeight="1">
      <c r="A415" s="112"/>
      <c r="B415" s="112"/>
      <c r="D415" s="115"/>
      <c r="E415" s="115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</row>
    <row r="416" spans="1:41" ht="15.75" customHeight="1">
      <c r="A416" s="112"/>
      <c r="B416" s="112"/>
      <c r="D416" s="115"/>
      <c r="E416" s="115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</row>
    <row r="417" spans="1:41" ht="15.75" customHeight="1">
      <c r="A417" s="112"/>
      <c r="B417" s="112"/>
      <c r="D417" s="115"/>
      <c r="E417" s="115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</row>
    <row r="418" spans="1:41" ht="15.75" customHeight="1">
      <c r="A418" s="112"/>
      <c r="B418" s="112"/>
      <c r="D418" s="115"/>
      <c r="E418" s="115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</row>
    <row r="419" spans="1:41" ht="15.75" customHeight="1">
      <c r="A419" s="112"/>
      <c r="B419" s="112"/>
      <c r="D419" s="115"/>
      <c r="E419" s="115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</row>
    <row r="420" spans="1:41" ht="15.75" customHeight="1">
      <c r="A420" s="112"/>
      <c r="B420" s="112"/>
      <c r="D420" s="115"/>
      <c r="E420" s="115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</row>
    <row r="421" spans="1:41" ht="15.75" customHeight="1">
      <c r="A421" s="112"/>
      <c r="B421" s="112"/>
      <c r="D421" s="115"/>
      <c r="E421" s="115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</row>
    <row r="422" spans="1:41" ht="15.75" customHeight="1">
      <c r="A422" s="112"/>
      <c r="B422" s="112"/>
      <c r="D422" s="115"/>
      <c r="E422" s="115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</row>
    <row r="423" spans="1:41" ht="15.75" customHeight="1">
      <c r="A423" s="112"/>
      <c r="B423" s="112"/>
      <c r="D423" s="115"/>
      <c r="E423" s="115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</row>
    <row r="424" spans="1:41" ht="15.75" customHeight="1">
      <c r="A424" s="112"/>
      <c r="B424" s="112"/>
      <c r="D424" s="115"/>
      <c r="E424" s="115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</row>
    <row r="425" spans="1:41" ht="15.75" customHeight="1">
      <c r="A425" s="112"/>
      <c r="B425" s="112"/>
      <c r="D425" s="115"/>
      <c r="E425" s="115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</row>
    <row r="426" spans="1:41" ht="15.75" customHeight="1">
      <c r="A426" s="112"/>
      <c r="B426" s="112"/>
      <c r="D426" s="115"/>
      <c r="E426" s="115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</row>
    <row r="427" spans="1:41" ht="15.75" customHeight="1">
      <c r="A427" s="112"/>
      <c r="B427" s="112"/>
      <c r="D427" s="115"/>
      <c r="E427" s="115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</row>
    <row r="428" spans="1:41" ht="15.75" customHeight="1">
      <c r="A428" s="112"/>
      <c r="B428" s="112"/>
      <c r="D428" s="115"/>
      <c r="E428" s="115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</row>
    <row r="429" spans="1:41" ht="15.75" customHeight="1">
      <c r="A429" s="112"/>
      <c r="B429" s="112"/>
      <c r="D429" s="115"/>
      <c r="E429" s="115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</row>
    <row r="430" spans="1:41" ht="15.75" customHeight="1">
      <c r="A430" s="112"/>
      <c r="B430" s="112"/>
      <c r="D430" s="115"/>
      <c r="E430" s="115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</row>
    <row r="431" spans="1:41" ht="15.75" customHeight="1">
      <c r="A431" s="112"/>
      <c r="B431" s="112"/>
      <c r="D431" s="115"/>
      <c r="E431" s="115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</row>
    <row r="432" spans="1:41" ht="15.75" customHeight="1">
      <c r="A432" s="112"/>
      <c r="B432" s="112"/>
      <c r="D432" s="115"/>
      <c r="E432" s="115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</row>
    <row r="433" spans="1:41" ht="15.75" customHeight="1">
      <c r="A433" s="112"/>
      <c r="B433" s="112"/>
      <c r="D433" s="115"/>
      <c r="E433" s="115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</row>
    <row r="434" spans="1:41" ht="15.75" customHeight="1">
      <c r="A434" s="112"/>
      <c r="B434" s="112"/>
      <c r="D434" s="115"/>
      <c r="E434" s="115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</row>
    <row r="435" spans="1:41" ht="15.75" customHeight="1">
      <c r="A435" s="112"/>
      <c r="B435" s="112"/>
      <c r="D435" s="115"/>
      <c r="E435" s="115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</row>
    <row r="436" spans="1:41" ht="15.75" customHeight="1">
      <c r="A436" s="112"/>
      <c r="B436" s="112"/>
      <c r="D436" s="115"/>
      <c r="E436" s="115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</row>
    <row r="437" spans="1:41" ht="15.75" customHeight="1">
      <c r="A437" s="112"/>
      <c r="B437" s="112"/>
      <c r="D437" s="115"/>
      <c r="E437" s="115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</row>
    <row r="438" spans="1:41" ht="15.75" customHeight="1">
      <c r="A438" s="112"/>
      <c r="B438" s="112"/>
      <c r="D438" s="115"/>
      <c r="E438" s="115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</row>
    <row r="439" spans="1:41" ht="15.75" customHeight="1">
      <c r="A439" s="112"/>
      <c r="B439" s="112"/>
      <c r="D439" s="115"/>
      <c r="E439" s="115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</row>
    <row r="440" spans="1:41" ht="15.75" customHeight="1">
      <c r="A440" s="112"/>
      <c r="B440" s="112"/>
      <c r="D440" s="115"/>
      <c r="E440" s="115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</row>
    <row r="441" spans="1:41" ht="15.75" customHeight="1">
      <c r="A441" s="112"/>
      <c r="B441" s="112"/>
      <c r="D441" s="115"/>
      <c r="E441" s="115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</row>
    <row r="442" spans="1:41" ht="15.75" customHeight="1">
      <c r="A442" s="112"/>
      <c r="B442" s="112"/>
      <c r="D442" s="115"/>
      <c r="E442" s="115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</row>
    <row r="443" spans="1:41" ht="15.75" customHeight="1">
      <c r="A443" s="112"/>
      <c r="B443" s="112"/>
      <c r="D443" s="115"/>
      <c r="E443" s="115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</row>
    <row r="444" spans="1:41" ht="15.75" customHeight="1">
      <c r="A444" s="112"/>
      <c r="B444" s="112"/>
      <c r="D444" s="115"/>
      <c r="E444" s="115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</row>
    <row r="445" spans="1:41" ht="15.75" customHeight="1">
      <c r="A445" s="112"/>
      <c r="B445" s="112"/>
      <c r="D445" s="115"/>
      <c r="E445" s="115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</row>
    <row r="446" spans="1:41" ht="15.75" customHeight="1">
      <c r="A446" s="112"/>
      <c r="B446" s="112"/>
      <c r="D446" s="115"/>
      <c r="E446" s="115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</row>
    <row r="447" spans="1:41" ht="15.75" customHeight="1">
      <c r="A447" s="112"/>
      <c r="B447" s="112"/>
      <c r="D447" s="115"/>
      <c r="E447" s="115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</row>
    <row r="448" spans="1:41" ht="15.75" customHeight="1">
      <c r="A448" s="112"/>
      <c r="B448" s="112"/>
      <c r="D448" s="115"/>
      <c r="E448" s="115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</row>
    <row r="449" spans="1:41" ht="15.75" customHeight="1">
      <c r="A449" s="112"/>
      <c r="B449" s="112"/>
      <c r="D449" s="115"/>
      <c r="E449" s="115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</row>
    <row r="450" spans="1:41" ht="15.75" customHeight="1">
      <c r="A450" s="112"/>
      <c r="B450" s="112"/>
      <c r="D450" s="115"/>
      <c r="E450" s="115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</row>
    <row r="451" spans="1:41" ht="15.75" customHeight="1">
      <c r="A451" s="112"/>
      <c r="B451" s="112"/>
      <c r="D451" s="115"/>
      <c r="E451" s="115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</row>
    <row r="452" spans="1:41" ht="15.75" customHeight="1">
      <c r="A452" s="112"/>
      <c r="B452" s="112"/>
      <c r="D452" s="115"/>
      <c r="E452" s="115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</row>
    <row r="453" spans="1:41" ht="15.75" customHeight="1">
      <c r="A453" s="112"/>
      <c r="B453" s="112"/>
      <c r="D453" s="115"/>
      <c r="E453" s="115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</row>
    <row r="454" spans="1:41" ht="15.75" customHeight="1">
      <c r="A454" s="112"/>
      <c r="B454" s="112"/>
      <c r="D454" s="115"/>
      <c r="E454" s="115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</row>
    <row r="455" spans="1:41" ht="15.75" customHeight="1">
      <c r="A455" s="112"/>
      <c r="B455" s="112"/>
      <c r="D455" s="115"/>
      <c r="E455" s="115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</row>
    <row r="456" spans="1:41" ht="15.75" customHeight="1">
      <c r="A456" s="112"/>
      <c r="B456" s="112"/>
      <c r="D456" s="115"/>
      <c r="E456" s="115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</row>
    <row r="457" spans="1:41" ht="15.75" customHeight="1">
      <c r="A457" s="112"/>
      <c r="B457" s="112"/>
      <c r="D457" s="115"/>
      <c r="E457" s="115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</row>
    <row r="458" spans="1:41" ht="15.75" customHeight="1">
      <c r="A458" s="112"/>
      <c r="B458" s="112"/>
      <c r="D458" s="115"/>
      <c r="E458" s="115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</row>
    <row r="459" spans="1:41" ht="15.75" customHeight="1">
      <c r="A459" s="112"/>
      <c r="B459" s="112"/>
      <c r="D459" s="115"/>
      <c r="E459" s="115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</row>
    <row r="460" spans="1:41" ht="15.75" customHeight="1">
      <c r="A460" s="112"/>
      <c r="B460" s="112"/>
      <c r="D460" s="115"/>
      <c r="E460" s="115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</row>
    <row r="461" spans="1:41" ht="15.75" customHeight="1">
      <c r="A461" s="112"/>
      <c r="B461" s="112"/>
      <c r="D461" s="115"/>
      <c r="E461" s="115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</row>
    <row r="462" spans="1:41" ht="15.75" customHeight="1">
      <c r="A462" s="112"/>
      <c r="B462" s="112"/>
      <c r="D462" s="115"/>
      <c r="E462" s="115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</row>
    <row r="463" spans="1:41" ht="15.75" customHeight="1">
      <c r="A463" s="112"/>
      <c r="B463" s="112"/>
      <c r="D463" s="115"/>
      <c r="E463" s="115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</row>
    <row r="464" spans="1:41" ht="15.75" customHeight="1">
      <c r="A464" s="112"/>
      <c r="B464" s="112"/>
      <c r="D464" s="115"/>
      <c r="E464" s="115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</row>
    <row r="465" spans="1:41" ht="15.75" customHeight="1">
      <c r="A465" s="112"/>
      <c r="B465" s="112"/>
      <c r="D465" s="115"/>
      <c r="E465" s="115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</row>
    <row r="466" spans="1:41" ht="15.75" customHeight="1">
      <c r="A466" s="112"/>
      <c r="B466" s="112"/>
      <c r="D466" s="115"/>
      <c r="E466" s="115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</row>
    <row r="467" spans="1:41" ht="15.75" customHeight="1">
      <c r="A467" s="112"/>
      <c r="B467" s="112"/>
      <c r="D467" s="115"/>
      <c r="E467" s="115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</row>
    <row r="468" spans="1:41" ht="15.75" customHeight="1">
      <c r="A468" s="112"/>
      <c r="B468" s="112"/>
      <c r="D468" s="115"/>
      <c r="E468" s="115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</row>
    <row r="469" spans="1:41" ht="15.75" customHeight="1">
      <c r="A469" s="112"/>
      <c r="B469" s="112"/>
      <c r="D469" s="115"/>
      <c r="E469" s="115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</row>
    <row r="470" spans="1:41" ht="15.75" customHeight="1">
      <c r="A470" s="112"/>
      <c r="B470" s="112"/>
      <c r="D470" s="115"/>
      <c r="E470" s="115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</row>
    <row r="471" spans="1:41" ht="15.75" customHeight="1">
      <c r="A471" s="112"/>
      <c r="B471" s="112"/>
      <c r="D471" s="115"/>
      <c r="E471" s="115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</row>
    <row r="472" spans="1:41" ht="15.75" customHeight="1">
      <c r="A472" s="112"/>
      <c r="B472" s="112"/>
      <c r="D472" s="115"/>
      <c r="E472" s="115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</row>
    <row r="473" spans="1:41" ht="15.75" customHeight="1">
      <c r="A473" s="112"/>
      <c r="B473" s="112"/>
      <c r="D473" s="115"/>
      <c r="E473" s="115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</row>
    <row r="474" spans="1:41" ht="15.75" customHeight="1">
      <c r="A474" s="112"/>
      <c r="B474" s="112"/>
      <c r="D474" s="115"/>
      <c r="E474" s="115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</row>
    <row r="475" spans="1:41" ht="15.75" customHeight="1">
      <c r="A475" s="112"/>
      <c r="B475" s="112"/>
      <c r="D475" s="115"/>
      <c r="E475" s="115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</row>
    <row r="476" spans="1:41" ht="15.75" customHeight="1">
      <c r="A476" s="112"/>
      <c r="B476" s="112"/>
      <c r="D476" s="115"/>
      <c r="E476" s="115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</row>
    <row r="477" spans="1:41" ht="15.75" customHeight="1">
      <c r="A477" s="112"/>
      <c r="B477" s="112"/>
      <c r="D477" s="115"/>
      <c r="E477" s="115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</row>
    <row r="478" spans="1:41" ht="15.75" customHeight="1">
      <c r="A478" s="112"/>
      <c r="B478" s="112"/>
      <c r="D478" s="115"/>
      <c r="E478" s="115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</row>
    <row r="479" spans="1:41" ht="15.75" customHeight="1">
      <c r="A479" s="112"/>
      <c r="B479" s="112"/>
      <c r="D479" s="115"/>
      <c r="E479" s="115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</row>
    <row r="480" spans="1:41" ht="15.75" customHeight="1">
      <c r="A480" s="112"/>
      <c r="B480" s="112"/>
      <c r="D480" s="115"/>
      <c r="E480" s="115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</row>
    <row r="481" spans="1:41" ht="15.75" customHeight="1">
      <c r="A481" s="112"/>
      <c r="B481" s="112"/>
      <c r="D481" s="115"/>
      <c r="E481" s="115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</row>
    <row r="482" spans="1:41" ht="15.75" customHeight="1">
      <c r="A482" s="112"/>
      <c r="B482" s="112"/>
      <c r="D482" s="115"/>
      <c r="E482" s="115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</row>
    <row r="483" spans="1:41" ht="15.75" customHeight="1">
      <c r="A483" s="112"/>
      <c r="B483" s="112"/>
      <c r="D483" s="115"/>
      <c r="E483" s="115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</row>
    <row r="484" spans="1:41" ht="15.75" customHeight="1">
      <c r="A484" s="112"/>
      <c r="B484" s="112"/>
      <c r="D484" s="115"/>
      <c r="E484" s="115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</row>
    <row r="485" spans="1:41" ht="15.75" customHeight="1">
      <c r="A485" s="112"/>
      <c r="B485" s="112"/>
      <c r="D485" s="115"/>
      <c r="E485" s="115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</row>
    <row r="486" spans="1:41" ht="15.75" customHeight="1">
      <c r="A486" s="112"/>
      <c r="B486" s="112"/>
      <c r="D486" s="115"/>
      <c r="E486" s="115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</row>
    <row r="487" spans="1:41" ht="15.75" customHeight="1">
      <c r="A487" s="112"/>
      <c r="B487" s="112"/>
      <c r="D487" s="115"/>
      <c r="E487" s="115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</row>
    <row r="488" spans="1:41" ht="15.75" customHeight="1">
      <c r="A488" s="112"/>
      <c r="B488" s="112"/>
      <c r="D488" s="115"/>
      <c r="E488" s="115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</row>
    <row r="489" spans="1:41" ht="15.75" customHeight="1">
      <c r="A489" s="112"/>
      <c r="B489" s="112"/>
      <c r="D489" s="115"/>
      <c r="E489" s="115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</row>
    <row r="490" spans="1:41" ht="15.75" customHeight="1">
      <c r="A490" s="112"/>
      <c r="B490" s="112"/>
      <c r="D490" s="115"/>
      <c r="E490" s="115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</row>
    <row r="491" spans="1:41" ht="15.75" customHeight="1">
      <c r="A491" s="112"/>
      <c r="B491" s="112"/>
      <c r="D491" s="115"/>
      <c r="E491" s="115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</row>
    <row r="492" spans="1:41" ht="15.75" customHeight="1">
      <c r="A492" s="112"/>
      <c r="B492" s="112"/>
      <c r="D492" s="115"/>
      <c r="E492" s="115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</row>
    <row r="493" spans="1:41" ht="15.75" customHeight="1">
      <c r="A493" s="112"/>
      <c r="B493" s="112"/>
      <c r="D493" s="115"/>
      <c r="E493" s="115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</row>
    <row r="494" spans="1:41" ht="15.75" customHeight="1">
      <c r="A494" s="112"/>
      <c r="B494" s="112"/>
      <c r="D494" s="115"/>
      <c r="E494" s="115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</row>
    <row r="495" spans="1:41" ht="15.75" customHeight="1">
      <c r="A495" s="112"/>
      <c r="B495" s="112"/>
      <c r="D495" s="115"/>
      <c r="E495" s="115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</row>
    <row r="496" spans="1:41" ht="15.75" customHeight="1">
      <c r="A496" s="112"/>
      <c r="B496" s="112"/>
      <c r="D496" s="115"/>
      <c r="E496" s="115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</row>
    <row r="497" spans="1:41" ht="15.75" customHeight="1">
      <c r="A497" s="112"/>
      <c r="B497" s="112"/>
      <c r="D497" s="115"/>
      <c r="E497" s="115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</row>
    <row r="498" spans="1:41" ht="15.75" customHeight="1">
      <c r="A498" s="112"/>
      <c r="B498" s="112"/>
      <c r="D498" s="115"/>
      <c r="E498" s="115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</row>
    <row r="499" spans="1:41" ht="15.75" customHeight="1">
      <c r="A499" s="112"/>
      <c r="B499" s="112"/>
      <c r="D499" s="115"/>
      <c r="E499" s="115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</row>
    <row r="500" spans="1:41" ht="15.75" customHeight="1">
      <c r="A500" s="112"/>
      <c r="B500" s="112"/>
      <c r="D500" s="115"/>
      <c r="E500" s="115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</row>
    <row r="501" spans="1:41" ht="15.75" customHeight="1">
      <c r="A501" s="112"/>
      <c r="B501" s="112"/>
      <c r="D501" s="115"/>
      <c r="E501" s="115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</row>
    <row r="502" spans="1:41" ht="15.75" customHeight="1">
      <c r="A502" s="112"/>
      <c r="B502" s="112"/>
      <c r="D502" s="115"/>
      <c r="E502" s="115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</row>
    <row r="503" spans="1:41" ht="15.75" customHeight="1">
      <c r="A503" s="112"/>
      <c r="B503" s="112"/>
      <c r="D503" s="115"/>
      <c r="E503" s="115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</row>
    <row r="504" spans="1:41" ht="15.75" customHeight="1">
      <c r="A504" s="112"/>
      <c r="B504" s="112"/>
      <c r="D504" s="115"/>
      <c r="E504" s="115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</row>
    <row r="505" spans="1:41" ht="15.75" customHeight="1">
      <c r="A505" s="112"/>
      <c r="B505" s="112"/>
      <c r="D505" s="115"/>
      <c r="E505" s="115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</row>
    <row r="506" spans="1:41" ht="15.75" customHeight="1">
      <c r="A506" s="112"/>
      <c r="B506" s="112"/>
      <c r="D506" s="115"/>
      <c r="E506" s="115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</row>
    <row r="507" spans="1:41" ht="15.75" customHeight="1">
      <c r="A507" s="112"/>
      <c r="B507" s="112"/>
      <c r="D507" s="115"/>
      <c r="E507" s="115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</row>
    <row r="508" spans="1:41" ht="15.75" customHeight="1">
      <c r="A508" s="112"/>
      <c r="B508" s="112"/>
      <c r="D508" s="115"/>
      <c r="E508" s="115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</row>
    <row r="509" spans="1:41" ht="15.75" customHeight="1">
      <c r="A509" s="112"/>
      <c r="B509" s="112"/>
      <c r="D509" s="115"/>
      <c r="E509" s="115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</row>
    <row r="510" spans="1:41" ht="15.75" customHeight="1">
      <c r="A510" s="112"/>
      <c r="B510" s="112"/>
      <c r="D510" s="115"/>
      <c r="E510" s="115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</row>
    <row r="511" spans="1:41" ht="15.75" customHeight="1">
      <c r="A511" s="112"/>
      <c r="B511" s="112"/>
      <c r="D511" s="115"/>
      <c r="E511" s="115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</row>
    <row r="512" spans="1:41" ht="15.75" customHeight="1">
      <c r="A512" s="112"/>
      <c r="B512" s="112"/>
      <c r="D512" s="115"/>
      <c r="E512" s="115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</row>
    <row r="513" spans="1:41" ht="15.75" customHeight="1">
      <c r="A513" s="112"/>
      <c r="B513" s="112"/>
      <c r="D513" s="115"/>
      <c r="E513" s="115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</row>
    <row r="514" spans="1:41" ht="15.75" customHeight="1">
      <c r="A514" s="112"/>
      <c r="B514" s="112"/>
      <c r="D514" s="115"/>
      <c r="E514" s="115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</row>
    <row r="515" spans="1:41" ht="15.75" customHeight="1">
      <c r="A515" s="112"/>
      <c r="B515" s="112"/>
      <c r="D515" s="115"/>
      <c r="E515" s="115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</row>
    <row r="516" spans="1:41" ht="15.75" customHeight="1">
      <c r="A516" s="112"/>
      <c r="B516" s="112"/>
      <c r="D516" s="115"/>
      <c r="E516" s="115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</row>
    <row r="517" spans="1:41" ht="15.75" customHeight="1">
      <c r="A517" s="112"/>
      <c r="B517" s="112"/>
      <c r="D517" s="115"/>
      <c r="E517" s="115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</row>
    <row r="518" spans="1:41" ht="15.75" customHeight="1">
      <c r="A518" s="112"/>
      <c r="B518" s="112"/>
      <c r="D518" s="115"/>
      <c r="E518" s="115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</row>
    <row r="519" spans="1:41" ht="15.75" customHeight="1">
      <c r="A519" s="112"/>
      <c r="B519" s="112"/>
      <c r="D519" s="115"/>
      <c r="E519" s="115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</row>
    <row r="520" spans="1:41" ht="15.75" customHeight="1">
      <c r="A520" s="112"/>
      <c r="B520" s="112"/>
      <c r="D520" s="115"/>
      <c r="E520" s="115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</row>
    <row r="521" spans="1:41" ht="15.75" customHeight="1">
      <c r="A521" s="112"/>
      <c r="B521" s="112"/>
      <c r="D521" s="115"/>
      <c r="E521" s="115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</row>
    <row r="522" spans="1:41" ht="15.75" customHeight="1">
      <c r="A522" s="112"/>
      <c r="B522" s="112"/>
      <c r="D522" s="115"/>
      <c r="E522" s="115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</row>
    <row r="523" spans="1:41" ht="15.75" customHeight="1">
      <c r="A523" s="112"/>
      <c r="B523" s="112"/>
      <c r="D523" s="115"/>
      <c r="E523" s="115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</row>
    <row r="524" spans="1:41" ht="15.75" customHeight="1">
      <c r="A524" s="112"/>
      <c r="B524" s="112"/>
      <c r="D524" s="115"/>
      <c r="E524" s="115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</row>
    <row r="525" spans="1:41" ht="15.75" customHeight="1">
      <c r="A525" s="112"/>
      <c r="B525" s="112"/>
      <c r="D525" s="115"/>
      <c r="E525" s="115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</row>
    <row r="526" spans="1:41" ht="15.75" customHeight="1">
      <c r="A526" s="112"/>
      <c r="B526" s="112"/>
      <c r="D526" s="115"/>
      <c r="E526" s="115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</row>
    <row r="527" spans="1:41" ht="15.75" customHeight="1">
      <c r="A527" s="112"/>
      <c r="B527" s="112"/>
      <c r="D527" s="115"/>
      <c r="E527" s="115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</row>
    <row r="528" spans="1:41" ht="15.75" customHeight="1">
      <c r="A528" s="112"/>
      <c r="B528" s="112"/>
      <c r="D528" s="115"/>
      <c r="E528" s="115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</row>
    <row r="529" spans="1:41" ht="15.75" customHeight="1">
      <c r="A529" s="112"/>
      <c r="B529" s="112"/>
      <c r="D529" s="115"/>
      <c r="E529" s="115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</row>
    <row r="530" spans="1:41" ht="15.75" customHeight="1">
      <c r="A530" s="112"/>
      <c r="B530" s="112"/>
      <c r="D530" s="115"/>
      <c r="E530" s="115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</row>
    <row r="531" spans="1:41" ht="15.75" customHeight="1">
      <c r="A531" s="112"/>
      <c r="B531" s="112"/>
      <c r="D531" s="115"/>
      <c r="E531" s="115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</row>
    <row r="532" spans="1:41" ht="15.75" customHeight="1">
      <c r="A532" s="112"/>
      <c r="B532" s="112"/>
      <c r="D532" s="115"/>
      <c r="E532" s="115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</row>
    <row r="533" spans="1:41" ht="15.75" customHeight="1">
      <c r="A533" s="112"/>
      <c r="B533" s="112"/>
      <c r="D533" s="115"/>
      <c r="E533" s="115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</row>
    <row r="534" spans="1:41" ht="15.75" customHeight="1">
      <c r="A534" s="112"/>
      <c r="B534" s="112"/>
      <c r="D534" s="115"/>
      <c r="E534" s="115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</row>
    <row r="535" spans="1:41" ht="15.75" customHeight="1">
      <c r="A535" s="112"/>
      <c r="B535" s="112"/>
      <c r="D535" s="115"/>
      <c r="E535" s="115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</row>
    <row r="536" spans="1:41" ht="15.75" customHeight="1">
      <c r="A536" s="112"/>
      <c r="B536" s="112"/>
      <c r="D536" s="115"/>
      <c r="E536" s="115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</row>
    <row r="537" spans="1:41" ht="15.75" customHeight="1">
      <c r="A537" s="112"/>
      <c r="B537" s="112"/>
      <c r="D537" s="115"/>
      <c r="E537" s="115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</row>
    <row r="538" spans="1:41" ht="15.75" customHeight="1">
      <c r="A538" s="112"/>
      <c r="B538" s="112"/>
      <c r="D538" s="115"/>
      <c r="E538" s="115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</row>
    <row r="539" spans="1:41" ht="15.75" customHeight="1">
      <c r="A539" s="112"/>
      <c r="B539" s="112"/>
      <c r="D539" s="115"/>
      <c r="E539" s="115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</row>
    <row r="540" spans="1:41" ht="15.75" customHeight="1">
      <c r="A540" s="112"/>
      <c r="B540" s="112"/>
      <c r="D540" s="115"/>
      <c r="E540" s="115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</row>
    <row r="541" spans="1:41" ht="15.75" customHeight="1">
      <c r="A541" s="112"/>
      <c r="B541" s="112"/>
      <c r="D541" s="115"/>
      <c r="E541" s="115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</row>
    <row r="542" spans="1:41" ht="15.75" customHeight="1">
      <c r="A542" s="112"/>
      <c r="B542" s="112"/>
      <c r="D542" s="115"/>
      <c r="E542" s="115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</row>
    <row r="543" spans="1:41" ht="15.75" customHeight="1">
      <c r="A543" s="112"/>
      <c r="B543" s="112"/>
      <c r="D543" s="115"/>
      <c r="E543" s="115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</row>
    <row r="544" spans="1:41" ht="15.75" customHeight="1">
      <c r="A544" s="112"/>
      <c r="B544" s="112"/>
      <c r="D544" s="115"/>
      <c r="E544" s="115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</row>
    <row r="545" spans="1:41" ht="15.75" customHeight="1">
      <c r="A545" s="112"/>
      <c r="B545" s="112"/>
      <c r="D545" s="115"/>
      <c r="E545" s="115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</row>
    <row r="546" spans="1:41" ht="15.75" customHeight="1">
      <c r="A546" s="112"/>
      <c r="B546" s="112"/>
      <c r="D546" s="115"/>
      <c r="E546" s="115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</row>
    <row r="547" spans="1:41" ht="15.75" customHeight="1">
      <c r="A547" s="112"/>
      <c r="B547" s="112"/>
      <c r="D547" s="115"/>
      <c r="E547" s="115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</row>
    <row r="548" spans="1:41" ht="15.75" customHeight="1">
      <c r="A548" s="112"/>
      <c r="B548" s="112"/>
      <c r="D548" s="115"/>
      <c r="E548" s="115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</row>
    <row r="549" spans="1:41" ht="15.75" customHeight="1">
      <c r="A549" s="112"/>
      <c r="B549" s="112"/>
      <c r="D549" s="115"/>
      <c r="E549" s="115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</row>
    <row r="550" spans="1:41" ht="15.75" customHeight="1">
      <c r="A550" s="112"/>
      <c r="B550" s="112"/>
      <c r="D550" s="115"/>
      <c r="E550" s="115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</row>
    <row r="551" spans="1:41" ht="15.75" customHeight="1">
      <c r="A551" s="112"/>
      <c r="B551" s="112"/>
      <c r="D551" s="115"/>
      <c r="E551" s="115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</row>
    <row r="552" spans="1:41" ht="15.75" customHeight="1">
      <c r="A552" s="112"/>
      <c r="B552" s="112"/>
      <c r="D552" s="115"/>
      <c r="E552" s="115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</row>
    <row r="553" spans="1:41" ht="15.75" customHeight="1">
      <c r="A553" s="112"/>
      <c r="B553" s="112"/>
      <c r="D553" s="115"/>
      <c r="E553" s="115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</row>
    <row r="554" spans="1:41" ht="15.75" customHeight="1">
      <c r="A554" s="112"/>
      <c r="B554" s="112"/>
      <c r="D554" s="115"/>
      <c r="E554" s="115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</row>
    <row r="555" spans="1:41" ht="15.75" customHeight="1">
      <c r="A555" s="112"/>
      <c r="B555" s="112"/>
      <c r="D555" s="115"/>
      <c r="E555" s="115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</row>
    <row r="556" spans="1:41" ht="15.75" customHeight="1">
      <c r="A556" s="112"/>
      <c r="B556" s="112"/>
      <c r="D556" s="115"/>
      <c r="E556" s="115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</row>
    <row r="557" spans="1:41" ht="15.75" customHeight="1">
      <c r="A557" s="112"/>
      <c r="B557" s="112"/>
      <c r="D557" s="115"/>
      <c r="E557" s="115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</row>
    <row r="558" spans="1:41" ht="15.75" customHeight="1">
      <c r="A558" s="112"/>
      <c r="B558" s="112"/>
      <c r="D558" s="115"/>
      <c r="E558" s="115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</row>
    <row r="559" spans="1:41" ht="15.75" customHeight="1">
      <c r="A559" s="112"/>
      <c r="B559" s="112"/>
      <c r="D559" s="115"/>
      <c r="E559" s="115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</row>
    <row r="560" spans="1:41" ht="15.75" customHeight="1">
      <c r="A560" s="112"/>
      <c r="B560" s="112"/>
      <c r="D560" s="115"/>
      <c r="E560" s="115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</row>
    <row r="561" spans="1:41" ht="15.75" customHeight="1">
      <c r="A561" s="112"/>
      <c r="B561" s="112"/>
      <c r="D561" s="115"/>
      <c r="E561" s="115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</row>
    <row r="562" spans="1:41" ht="15.75" customHeight="1">
      <c r="A562" s="112"/>
      <c r="B562" s="112"/>
      <c r="D562" s="115"/>
      <c r="E562" s="115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</row>
    <row r="563" spans="1:41" ht="15.75" customHeight="1">
      <c r="A563" s="112"/>
      <c r="B563" s="112"/>
      <c r="D563" s="115"/>
      <c r="E563" s="115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</row>
    <row r="564" spans="1:41" ht="15.75" customHeight="1">
      <c r="A564" s="112"/>
      <c r="B564" s="112"/>
      <c r="D564" s="115"/>
      <c r="E564" s="115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</row>
    <row r="565" spans="1:41" ht="15.75" customHeight="1">
      <c r="A565" s="112"/>
      <c r="B565" s="112"/>
      <c r="D565" s="115"/>
      <c r="E565" s="115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</row>
    <row r="566" spans="1:41" ht="15.75" customHeight="1">
      <c r="A566" s="112"/>
      <c r="B566" s="112"/>
      <c r="D566" s="115"/>
      <c r="E566" s="115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</row>
    <row r="567" spans="1:41" ht="15.75" customHeight="1">
      <c r="A567" s="112"/>
      <c r="B567" s="112"/>
      <c r="D567" s="115"/>
      <c r="E567" s="115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</row>
    <row r="568" spans="1:41" ht="15.75" customHeight="1">
      <c r="A568" s="112"/>
      <c r="B568" s="112"/>
      <c r="D568" s="115"/>
      <c r="E568" s="115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</row>
    <row r="569" spans="1:41" ht="15.75" customHeight="1">
      <c r="A569" s="112"/>
      <c r="B569" s="112"/>
      <c r="D569" s="115"/>
      <c r="E569" s="115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</row>
    <row r="570" spans="1:41" ht="15.75" customHeight="1">
      <c r="A570" s="112"/>
      <c r="B570" s="112"/>
      <c r="D570" s="115"/>
      <c r="E570" s="115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</row>
    <row r="571" spans="1:41" ht="15.75" customHeight="1">
      <c r="A571" s="112"/>
      <c r="B571" s="112"/>
      <c r="D571" s="115"/>
      <c r="E571" s="115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</row>
    <row r="572" spans="1:41" ht="15.75" customHeight="1">
      <c r="A572" s="112"/>
      <c r="B572" s="112"/>
      <c r="D572" s="115"/>
      <c r="E572" s="115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</row>
    <row r="573" spans="1:41" ht="15.75" customHeight="1">
      <c r="A573" s="112"/>
      <c r="B573" s="112"/>
      <c r="D573" s="115"/>
      <c r="E573" s="115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</row>
    <row r="574" spans="1:41" ht="15.75" customHeight="1">
      <c r="A574" s="112"/>
      <c r="B574" s="112"/>
      <c r="D574" s="115"/>
      <c r="E574" s="115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</row>
    <row r="575" spans="1:41" ht="15.75" customHeight="1">
      <c r="A575" s="112"/>
      <c r="B575" s="112"/>
      <c r="D575" s="115"/>
      <c r="E575" s="115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</row>
    <row r="576" spans="1:41" ht="15.75" customHeight="1">
      <c r="A576" s="112"/>
      <c r="B576" s="112"/>
      <c r="D576" s="115"/>
      <c r="E576" s="115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</row>
    <row r="577" spans="1:41" ht="15.75" customHeight="1">
      <c r="A577" s="112"/>
      <c r="B577" s="112"/>
      <c r="D577" s="115"/>
      <c r="E577" s="115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</row>
    <row r="578" spans="1:41" ht="15.75" customHeight="1">
      <c r="A578" s="112"/>
      <c r="B578" s="112"/>
      <c r="D578" s="115"/>
      <c r="E578" s="115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</row>
    <row r="579" spans="1:41" ht="15.75" customHeight="1">
      <c r="A579" s="112"/>
      <c r="B579" s="112"/>
      <c r="D579" s="115"/>
      <c r="E579" s="115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</row>
    <row r="580" spans="1:41" ht="15.75" customHeight="1">
      <c r="A580" s="112"/>
      <c r="B580" s="112"/>
      <c r="D580" s="115"/>
      <c r="E580" s="115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</row>
    <row r="581" spans="1:41" ht="15.75" customHeight="1">
      <c r="A581" s="112"/>
      <c r="B581" s="112"/>
      <c r="D581" s="115"/>
      <c r="E581" s="115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</row>
    <row r="582" spans="1:41" ht="15.75" customHeight="1">
      <c r="A582" s="112"/>
      <c r="B582" s="112"/>
      <c r="D582" s="115"/>
      <c r="E582" s="115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</row>
    <row r="583" spans="1:41" ht="15.75" customHeight="1">
      <c r="A583" s="112"/>
      <c r="B583" s="112"/>
      <c r="D583" s="115"/>
      <c r="E583" s="115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</row>
    <row r="584" spans="1:41" ht="15.75" customHeight="1">
      <c r="A584" s="112"/>
      <c r="B584" s="112"/>
      <c r="D584" s="115"/>
      <c r="E584" s="115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</row>
    <row r="585" spans="1:41" ht="15.75" customHeight="1">
      <c r="A585" s="112"/>
      <c r="B585" s="112"/>
      <c r="D585" s="115"/>
      <c r="E585" s="115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</row>
    <row r="586" spans="1:41" ht="15.75" customHeight="1">
      <c r="A586" s="112"/>
      <c r="B586" s="112"/>
      <c r="D586" s="115"/>
      <c r="E586" s="115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</row>
    <row r="587" spans="1:41" ht="15.75" customHeight="1">
      <c r="A587" s="112"/>
      <c r="B587" s="112"/>
      <c r="D587" s="115"/>
      <c r="E587" s="115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</row>
    <row r="588" spans="1:41" ht="15.75" customHeight="1">
      <c r="A588" s="112"/>
      <c r="B588" s="112"/>
      <c r="D588" s="115"/>
      <c r="E588" s="115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</row>
    <row r="589" spans="1:41" ht="15.75" customHeight="1">
      <c r="A589" s="112"/>
      <c r="B589" s="112"/>
      <c r="D589" s="115"/>
      <c r="E589" s="115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</row>
    <row r="590" spans="1:41" ht="15.75" customHeight="1">
      <c r="A590" s="112"/>
      <c r="B590" s="112"/>
      <c r="D590" s="115"/>
      <c r="E590" s="115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</row>
    <row r="591" spans="1:41" ht="15.75" customHeight="1">
      <c r="A591" s="112"/>
      <c r="B591" s="112"/>
      <c r="D591" s="115"/>
      <c r="E591" s="115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</row>
    <row r="592" spans="1:41" ht="15.75" customHeight="1">
      <c r="A592" s="112"/>
      <c r="B592" s="112"/>
      <c r="D592" s="115"/>
      <c r="E592" s="115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</row>
    <row r="593" spans="1:41" ht="15.75" customHeight="1">
      <c r="A593" s="112"/>
      <c r="B593" s="112"/>
      <c r="D593" s="115"/>
      <c r="E593" s="115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</row>
    <row r="594" spans="1:41" ht="15.75" customHeight="1">
      <c r="A594" s="112"/>
      <c r="B594" s="112"/>
      <c r="D594" s="115"/>
      <c r="E594" s="115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</row>
    <row r="595" spans="1:41" ht="15.75" customHeight="1">
      <c r="A595" s="112"/>
      <c r="B595" s="112"/>
      <c r="D595" s="115"/>
      <c r="E595" s="115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</row>
    <row r="596" spans="1:41" ht="15.75" customHeight="1">
      <c r="A596" s="112"/>
      <c r="B596" s="112"/>
      <c r="D596" s="115"/>
      <c r="E596" s="115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</row>
    <row r="597" spans="1:41" ht="15.75" customHeight="1">
      <c r="A597" s="112"/>
      <c r="B597" s="112"/>
      <c r="D597" s="115"/>
      <c r="E597" s="115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</row>
    <row r="598" spans="1:41" ht="15.75" customHeight="1">
      <c r="A598" s="112"/>
      <c r="B598" s="112"/>
      <c r="D598" s="115"/>
      <c r="E598" s="115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</row>
    <row r="599" spans="1:41" ht="15.75" customHeight="1">
      <c r="A599" s="112"/>
      <c r="B599" s="112"/>
      <c r="D599" s="115"/>
      <c r="E599" s="115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</row>
    <row r="600" spans="1:41" ht="15.75" customHeight="1">
      <c r="A600" s="112"/>
      <c r="B600" s="112"/>
      <c r="D600" s="115"/>
      <c r="E600" s="115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</row>
    <row r="601" spans="1:41" ht="15.75" customHeight="1">
      <c r="A601" s="112"/>
      <c r="B601" s="112"/>
      <c r="D601" s="115"/>
      <c r="E601" s="115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</row>
    <row r="602" spans="1:41" ht="15.75" customHeight="1">
      <c r="A602" s="112"/>
      <c r="B602" s="112"/>
      <c r="D602" s="115"/>
      <c r="E602" s="115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</row>
    <row r="603" spans="1:41" ht="15.75" customHeight="1">
      <c r="A603" s="112"/>
      <c r="B603" s="112"/>
      <c r="D603" s="115"/>
      <c r="E603" s="115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</row>
    <row r="604" spans="1:41" ht="15.75" customHeight="1">
      <c r="A604" s="112"/>
      <c r="B604" s="112"/>
      <c r="D604" s="115"/>
      <c r="E604" s="115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</row>
    <row r="605" spans="1:41" ht="15.75" customHeight="1">
      <c r="A605" s="112"/>
      <c r="B605" s="112"/>
      <c r="D605" s="115"/>
      <c r="E605" s="115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</row>
    <row r="606" spans="1:41" ht="15.75" customHeight="1">
      <c r="A606" s="112"/>
      <c r="B606" s="112"/>
      <c r="D606" s="115"/>
      <c r="E606" s="115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</row>
    <row r="607" spans="1:41" ht="15.75" customHeight="1">
      <c r="A607" s="112"/>
      <c r="B607" s="112"/>
      <c r="D607" s="115"/>
      <c r="E607" s="115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</row>
    <row r="608" spans="1:41" ht="15.75" customHeight="1">
      <c r="A608" s="112"/>
      <c r="B608" s="112"/>
      <c r="D608" s="115"/>
      <c r="E608" s="115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</row>
    <row r="609" spans="1:41" ht="15.75" customHeight="1">
      <c r="A609" s="112"/>
      <c r="B609" s="112"/>
      <c r="D609" s="115"/>
      <c r="E609" s="115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</row>
    <row r="610" spans="1:41" ht="15.75" customHeight="1">
      <c r="A610" s="112"/>
      <c r="B610" s="112"/>
      <c r="D610" s="115"/>
      <c r="E610" s="115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</row>
    <row r="611" spans="1:41" ht="15.75" customHeight="1">
      <c r="A611" s="112"/>
      <c r="B611" s="112"/>
      <c r="D611" s="115"/>
      <c r="E611" s="115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</row>
    <row r="612" spans="1:41" ht="15.75" customHeight="1">
      <c r="A612" s="112"/>
      <c r="B612" s="112"/>
      <c r="D612" s="115"/>
      <c r="E612" s="115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</row>
    <row r="613" spans="1:41" ht="15.75" customHeight="1">
      <c r="A613" s="112"/>
      <c r="B613" s="112"/>
      <c r="D613" s="115"/>
      <c r="E613" s="115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</row>
    <row r="614" spans="1:41" ht="15.75" customHeight="1">
      <c r="A614" s="112"/>
      <c r="B614" s="112"/>
      <c r="D614" s="115"/>
      <c r="E614" s="115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</row>
    <row r="615" spans="1:41" ht="15.75" customHeight="1">
      <c r="A615" s="112"/>
      <c r="B615" s="112"/>
      <c r="D615" s="115"/>
      <c r="E615" s="115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</row>
    <row r="616" spans="1:41" ht="15.75" customHeight="1">
      <c r="A616" s="112"/>
      <c r="B616" s="112"/>
      <c r="D616" s="115"/>
      <c r="E616" s="115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</row>
    <row r="617" spans="1:41" ht="15.75" customHeight="1">
      <c r="A617" s="112"/>
      <c r="B617" s="112"/>
      <c r="D617" s="115"/>
      <c r="E617" s="115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</row>
    <row r="618" spans="1:41" ht="15.75" customHeight="1">
      <c r="A618" s="112"/>
      <c r="B618" s="112"/>
      <c r="D618" s="115"/>
      <c r="E618" s="115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</row>
    <row r="619" spans="1:41" ht="15.75" customHeight="1">
      <c r="A619" s="112"/>
      <c r="B619" s="112"/>
      <c r="D619" s="115"/>
      <c r="E619" s="115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</row>
    <row r="620" spans="1:41" ht="15.75" customHeight="1">
      <c r="A620" s="112"/>
      <c r="B620" s="112"/>
      <c r="D620" s="115"/>
      <c r="E620" s="115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</row>
    <row r="621" spans="1:41" ht="15.75" customHeight="1">
      <c r="A621" s="112"/>
      <c r="B621" s="112"/>
      <c r="D621" s="115"/>
      <c r="E621" s="115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</row>
    <row r="622" spans="1:41" ht="15.75" customHeight="1">
      <c r="A622" s="112"/>
      <c r="B622" s="112"/>
      <c r="D622" s="115"/>
      <c r="E622" s="115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</row>
    <row r="623" spans="1:41" ht="15.75" customHeight="1">
      <c r="A623" s="112"/>
      <c r="B623" s="112"/>
      <c r="D623" s="115"/>
      <c r="E623" s="115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</row>
    <row r="624" spans="1:41" ht="15.75" customHeight="1">
      <c r="A624" s="112"/>
      <c r="B624" s="112"/>
      <c r="D624" s="115"/>
      <c r="E624" s="115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</row>
    <row r="625" spans="1:41" ht="15.75" customHeight="1">
      <c r="A625" s="112"/>
      <c r="B625" s="112"/>
      <c r="D625" s="115"/>
      <c r="E625" s="115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</row>
    <row r="626" spans="1:41" ht="15.75" customHeight="1">
      <c r="A626" s="112"/>
      <c r="B626" s="112"/>
      <c r="D626" s="115"/>
      <c r="E626" s="115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</row>
    <row r="627" spans="1:41" ht="15.75" customHeight="1">
      <c r="A627" s="112"/>
      <c r="B627" s="112"/>
      <c r="D627" s="115"/>
      <c r="E627" s="115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</row>
    <row r="628" spans="1:41" ht="15.75" customHeight="1">
      <c r="A628" s="112"/>
      <c r="B628" s="112"/>
      <c r="D628" s="115"/>
      <c r="E628" s="115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</row>
    <row r="629" spans="1:41" ht="15.75" customHeight="1">
      <c r="A629" s="112"/>
      <c r="B629" s="112"/>
      <c r="D629" s="115"/>
      <c r="E629" s="115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</row>
    <row r="630" spans="1:41" ht="15.75" customHeight="1">
      <c r="A630" s="112"/>
      <c r="B630" s="112"/>
      <c r="D630" s="115"/>
      <c r="E630" s="115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</row>
    <row r="631" spans="1:41" ht="15.75" customHeight="1">
      <c r="A631" s="112"/>
      <c r="B631" s="112"/>
      <c r="D631" s="115"/>
      <c r="E631" s="115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</row>
    <row r="632" spans="1:41" ht="15.75" customHeight="1">
      <c r="A632" s="112"/>
      <c r="B632" s="112"/>
      <c r="D632" s="115"/>
      <c r="E632" s="115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</row>
    <row r="633" spans="1:41" ht="15.75" customHeight="1">
      <c r="A633" s="112"/>
      <c r="B633" s="112"/>
      <c r="D633" s="115"/>
      <c r="E633" s="115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</row>
    <row r="634" spans="1:41" ht="15.75" customHeight="1">
      <c r="A634" s="112"/>
      <c r="B634" s="112"/>
      <c r="D634" s="115"/>
      <c r="E634" s="115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</row>
    <row r="635" spans="1:41" ht="15.75" customHeight="1">
      <c r="A635" s="112"/>
      <c r="B635" s="112"/>
      <c r="D635" s="115"/>
      <c r="E635" s="115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</row>
    <row r="636" spans="1:41" ht="15.75" customHeight="1">
      <c r="A636" s="112"/>
      <c r="B636" s="112"/>
      <c r="D636" s="115"/>
      <c r="E636" s="115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</row>
    <row r="637" spans="1:41" ht="15.75" customHeight="1">
      <c r="A637" s="112"/>
      <c r="B637" s="112"/>
      <c r="D637" s="115"/>
      <c r="E637" s="115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</row>
    <row r="638" spans="1:41" ht="15.75" customHeight="1">
      <c r="A638" s="112"/>
      <c r="B638" s="112"/>
      <c r="D638" s="115"/>
      <c r="E638" s="115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</row>
    <row r="639" spans="1:41" ht="15.75" customHeight="1">
      <c r="A639" s="112"/>
      <c r="B639" s="112"/>
      <c r="D639" s="115"/>
      <c r="E639" s="115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</row>
    <row r="640" spans="1:41" ht="15.75" customHeight="1">
      <c r="A640" s="112"/>
      <c r="B640" s="112"/>
      <c r="D640" s="115"/>
      <c r="E640" s="115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</row>
    <row r="641" spans="1:41" ht="15.75" customHeight="1">
      <c r="A641" s="112"/>
      <c r="B641" s="112"/>
      <c r="D641" s="115"/>
      <c r="E641" s="115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</row>
    <row r="642" spans="1:41" ht="15.75" customHeight="1">
      <c r="A642" s="112"/>
      <c r="B642" s="112"/>
      <c r="D642" s="115"/>
      <c r="E642" s="115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</row>
    <row r="643" spans="1:41" ht="15.75" customHeight="1">
      <c r="A643" s="112"/>
      <c r="B643" s="112"/>
      <c r="D643" s="115"/>
      <c r="E643" s="115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</row>
    <row r="644" spans="1:41" ht="15.75" customHeight="1">
      <c r="A644" s="112"/>
      <c r="B644" s="112"/>
      <c r="D644" s="115"/>
      <c r="E644" s="115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</row>
    <row r="645" spans="1:41" ht="15.75" customHeight="1">
      <c r="A645" s="112"/>
      <c r="B645" s="112"/>
      <c r="D645" s="115"/>
      <c r="E645" s="115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</row>
    <row r="646" spans="1:41" ht="15.75" customHeight="1">
      <c r="A646" s="112"/>
      <c r="B646" s="112"/>
      <c r="D646" s="115"/>
      <c r="E646" s="115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</row>
    <row r="647" spans="1:41" ht="15.75" customHeight="1">
      <c r="A647" s="112"/>
      <c r="B647" s="112"/>
      <c r="D647" s="115"/>
      <c r="E647" s="115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</row>
    <row r="648" spans="1:41" ht="15.75" customHeight="1">
      <c r="A648" s="112"/>
      <c r="B648" s="112"/>
      <c r="D648" s="115"/>
      <c r="E648" s="115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</row>
    <row r="649" spans="1:41" ht="15.75" customHeight="1">
      <c r="A649" s="112"/>
      <c r="B649" s="112"/>
      <c r="D649" s="115"/>
      <c r="E649" s="115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</row>
    <row r="650" spans="1:41" ht="15.75" customHeight="1">
      <c r="A650" s="112"/>
      <c r="B650" s="112"/>
      <c r="D650" s="115"/>
      <c r="E650" s="115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</row>
    <row r="651" spans="1:41" ht="15.75" customHeight="1">
      <c r="A651" s="112"/>
      <c r="B651" s="112"/>
      <c r="D651" s="115"/>
      <c r="E651" s="115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</row>
    <row r="652" spans="1:41" ht="15.75" customHeight="1">
      <c r="A652" s="112"/>
      <c r="B652" s="112"/>
      <c r="D652" s="115"/>
      <c r="E652" s="115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</row>
    <row r="653" spans="1:41" ht="15.75" customHeight="1">
      <c r="A653" s="112"/>
      <c r="B653" s="112"/>
      <c r="D653" s="115"/>
      <c r="E653" s="115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</row>
    <row r="654" spans="1:41" ht="15.75" customHeight="1">
      <c r="A654" s="112"/>
      <c r="B654" s="112"/>
      <c r="D654" s="115"/>
      <c r="E654" s="115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</row>
    <row r="655" spans="1:41" ht="15.75" customHeight="1">
      <c r="A655" s="112"/>
      <c r="B655" s="112"/>
      <c r="D655" s="115"/>
      <c r="E655" s="115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</row>
    <row r="656" spans="1:41" ht="15.75" customHeight="1">
      <c r="A656" s="112"/>
      <c r="B656" s="112"/>
      <c r="D656" s="115"/>
      <c r="E656" s="115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</row>
    <row r="657" spans="1:41" ht="15.75" customHeight="1">
      <c r="A657" s="112"/>
      <c r="B657" s="112"/>
      <c r="D657" s="115"/>
      <c r="E657" s="115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</row>
    <row r="658" spans="1:41" ht="15.75" customHeight="1">
      <c r="A658" s="112"/>
      <c r="B658" s="112"/>
      <c r="D658" s="115"/>
      <c r="E658" s="115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</row>
    <row r="659" spans="1:41" ht="15.75" customHeight="1">
      <c r="A659" s="112"/>
      <c r="B659" s="112"/>
      <c r="D659" s="115"/>
      <c r="E659" s="115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</row>
    <row r="660" spans="1:41" ht="15.75" customHeight="1">
      <c r="A660" s="112"/>
      <c r="B660" s="112"/>
      <c r="D660" s="115"/>
      <c r="E660" s="115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</row>
    <row r="661" spans="1:41" ht="15.75" customHeight="1">
      <c r="A661" s="112"/>
      <c r="B661" s="112"/>
      <c r="D661" s="115"/>
      <c r="E661" s="115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</row>
    <row r="662" spans="1:41" ht="15.75" customHeight="1">
      <c r="A662" s="112"/>
      <c r="B662" s="112"/>
      <c r="D662" s="115"/>
      <c r="E662" s="115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</row>
    <row r="663" spans="1:41" ht="15.75" customHeight="1">
      <c r="A663" s="112"/>
      <c r="B663" s="112"/>
      <c r="D663" s="115"/>
      <c r="E663" s="115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</row>
    <row r="664" spans="1:41" ht="15.75" customHeight="1">
      <c r="A664" s="112"/>
      <c r="B664" s="112"/>
      <c r="D664" s="115"/>
      <c r="E664" s="115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</row>
    <row r="665" spans="1:41" ht="15.75" customHeight="1">
      <c r="A665" s="112"/>
      <c r="B665" s="112"/>
      <c r="D665" s="115"/>
      <c r="E665" s="115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</row>
    <row r="666" spans="1:41" ht="15.75" customHeight="1">
      <c r="A666" s="112"/>
      <c r="B666" s="112"/>
      <c r="D666" s="115"/>
      <c r="E666" s="115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</row>
    <row r="667" spans="1:41" ht="15.75" customHeight="1">
      <c r="A667" s="112"/>
      <c r="B667" s="112"/>
      <c r="D667" s="115"/>
      <c r="E667" s="115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</row>
    <row r="668" spans="1:41" ht="15.75" customHeight="1">
      <c r="A668" s="112"/>
      <c r="B668" s="112"/>
      <c r="D668" s="115"/>
      <c r="E668" s="115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</row>
    <row r="669" spans="1:41" ht="15.75" customHeight="1">
      <c r="A669" s="112"/>
      <c r="B669" s="112"/>
      <c r="D669" s="115"/>
      <c r="E669" s="115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</row>
    <row r="670" spans="1:41" ht="15.75" customHeight="1">
      <c r="A670" s="112"/>
      <c r="B670" s="112"/>
      <c r="D670" s="115"/>
      <c r="E670" s="115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</row>
    <row r="671" spans="1:41" ht="15.75" customHeight="1">
      <c r="A671" s="112"/>
      <c r="B671" s="112"/>
      <c r="D671" s="115"/>
      <c r="E671" s="115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</row>
    <row r="672" spans="1:41" ht="15.75" customHeight="1">
      <c r="A672" s="112"/>
      <c r="B672" s="112"/>
      <c r="D672" s="115"/>
      <c r="E672" s="115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</row>
    <row r="673" spans="1:41" ht="15.75" customHeight="1">
      <c r="A673" s="112"/>
      <c r="B673" s="112"/>
      <c r="D673" s="115"/>
      <c r="E673" s="115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</row>
    <row r="674" spans="1:41" ht="15.75" customHeight="1">
      <c r="A674" s="112"/>
      <c r="B674" s="112"/>
      <c r="D674" s="115"/>
      <c r="E674" s="115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</row>
    <row r="675" spans="1:41" ht="15.75" customHeight="1">
      <c r="A675" s="112"/>
      <c r="B675" s="112"/>
      <c r="D675" s="115"/>
      <c r="E675" s="115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</row>
    <row r="676" spans="1:41" ht="15.75" customHeight="1">
      <c r="A676" s="112"/>
      <c r="B676" s="112"/>
      <c r="D676" s="115"/>
      <c r="E676" s="115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</row>
    <row r="677" spans="1:41" ht="15.75" customHeight="1">
      <c r="A677" s="112"/>
      <c r="B677" s="112"/>
      <c r="D677" s="115"/>
      <c r="E677" s="115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</row>
    <row r="678" spans="1:41" ht="15.75" customHeight="1">
      <c r="A678" s="112"/>
      <c r="B678" s="112"/>
      <c r="D678" s="115"/>
      <c r="E678" s="115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</row>
    <row r="679" spans="1:41" ht="15.75" customHeight="1">
      <c r="A679" s="112"/>
      <c r="B679" s="112"/>
      <c r="D679" s="115"/>
      <c r="E679" s="115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</row>
    <row r="680" spans="1:41" ht="15.75" customHeight="1">
      <c r="A680" s="112"/>
      <c r="B680" s="112"/>
      <c r="D680" s="115"/>
      <c r="E680" s="115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</row>
    <row r="681" spans="1:41" ht="15.75" customHeight="1">
      <c r="A681" s="112"/>
      <c r="B681" s="112"/>
      <c r="D681" s="115"/>
      <c r="E681" s="115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</row>
    <row r="682" spans="1:41" ht="15.75" customHeight="1">
      <c r="A682" s="112"/>
      <c r="B682" s="112"/>
      <c r="D682" s="115"/>
      <c r="E682" s="115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</row>
    <row r="683" spans="1:41" ht="15.75" customHeight="1">
      <c r="A683" s="112"/>
      <c r="B683" s="112"/>
      <c r="D683" s="115"/>
      <c r="E683" s="115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</row>
    <row r="684" spans="1:41" ht="15.75" customHeight="1">
      <c r="A684" s="112"/>
      <c r="B684" s="112"/>
      <c r="D684" s="115"/>
      <c r="E684" s="115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</row>
    <row r="685" spans="1:41" ht="15.75" customHeight="1">
      <c r="A685" s="112"/>
      <c r="B685" s="112"/>
      <c r="D685" s="115"/>
      <c r="E685" s="115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</row>
    <row r="686" spans="1:41" ht="15.75" customHeight="1">
      <c r="A686" s="112"/>
      <c r="B686" s="112"/>
      <c r="D686" s="115"/>
      <c r="E686" s="115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</row>
    <row r="687" spans="1:41" ht="15.75" customHeight="1">
      <c r="A687" s="112"/>
      <c r="B687" s="112"/>
      <c r="D687" s="115"/>
      <c r="E687" s="115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</row>
    <row r="688" spans="1:41" ht="15.75" customHeight="1">
      <c r="A688" s="112"/>
      <c r="B688" s="112"/>
      <c r="D688" s="115"/>
      <c r="E688" s="115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</row>
    <row r="689" spans="1:41" ht="15.75" customHeight="1">
      <c r="A689" s="112"/>
      <c r="B689" s="112"/>
      <c r="D689" s="115"/>
      <c r="E689" s="115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</row>
    <row r="690" spans="1:41" ht="15.75" customHeight="1">
      <c r="A690" s="112"/>
      <c r="B690" s="112"/>
      <c r="D690" s="115"/>
      <c r="E690" s="115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</row>
    <row r="691" spans="1:41" ht="15.75" customHeight="1">
      <c r="A691" s="112"/>
      <c r="B691" s="112"/>
      <c r="D691" s="115"/>
      <c r="E691" s="115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</row>
    <row r="692" spans="1:41" ht="15.75" customHeight="1">
      <c r="A692" s="112"/>
      <c r="B692" s="112"/>
      <c r="D692" s="115"/>
      <c r="E692" s="115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</row>
    <row r="693" spans="1:41" ht="15.75" customHeight="1">
      <c r="A693" s="112"/>
      <c r="B693" s="112"/>
      <c r="D693" s="115"/>
      <c r="E693" s="115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</row>
    <row r="694" spans="1:41" ht="15.75" customHeight="1">
      <c r="A694" s="112"/>
      <c r="B694" s="112"/>
      <c r="D694" s="115"/>
      <c r="E694" s="115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</row>
    <row r="695" spans="1:41" ht="15.75" customHeight="1">
      <c r="A695" s="112"/>
      <c r="B695" s="112"/>
      <c r="D695" s="115"/>
      <c r="E695" s="115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</row>
    <row r="696" spans="1:41" ht="15.75" customHeight="1">
      <c r="A696" s="112"/>
      <c r="B696" s="112"/>
      <c r="D696" s="115"/>
      <c r="E696" s="115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</row>
    <row r="697" spans="1:41" ht="15.75" customHeight="1">
      <c r="A697" s="112"/>
      <c r="B697" s="112"/>
      <c r="D697" s="115"/>
      <c r="E697" s="115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</row>
    <row r="698" spans="1:41" ht="15.75" customHeight="1">
      <c r="A698" s="112"/>
      <c r="B698" s="112"/>
      <c r="D698" s="115"/>
      <c r="E698" s="115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</row>
    <row r="699" spans="1:41" ht="15.75" customHeight="1">
      <c r="A699" s="112"/>
      <c r="B699" s="112"/>
      <c r="D699" s="115"/>
      <c r="E699" s="115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</row>
    <row r="700" spans="1:41" ht="15.75" customHeight="1">
      <c r="A700" s="112"/>
      <c r="B700" s="112"/>
      <c r="D700" s="115"/>
      <c r="E700" s="115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</row>
    <row r="701" spans="1:41" ht="15.75" customHeight="1">
      <c r="A701" s="112"/>
      <c r="B701" s="112"/>
      <c r="D701" s="115"/>
      <c r="E701" s="115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</row>
    <row r="702" spans="1:41" ht="15.75" customHeight="1">
      <c r="A702" s="112"/>
      <c r="B702" s="112"/>
      <c r="D702" s="115"/>
      <c r="E702" s="115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</row>
    <row r="703" spans="1:41" ht="15.75" customHeight="1">
      <c r="A703" s="112"/>
      <c r="B703" s="112"/>
      <c r="D703" s="115"/>
      <c r="E703" s="115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</row>
    <row r="704" spans="1:41" ht="15.75" customHeight="1">
      <c r="A704" s="112"/>
      <c r="B704" s="112"/>
      <c r="D704" s="115"/>
      <c r="E704" s="115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</row>
    <row r="705" spans="1:41" ht="15.75" customHeight="1">
      <c r="A705" s="112"/>
      <c r="B705" s="112"/>
      <c r="D705" s="115"/>
      <c r="E705" s="115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</row>
    <row r="706" spans="1:41" ht="15.75" customHeight="1">
      <c r="A706" s="112"/>
      <c r="B706" s="112"/>
      <c r="D706" s="115"/>
      <c r="E706" s="115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</row>
    <row r="707" spans="1:41" ht="15.75" customHeight="1">
      <c r="A707" s="112"/>
      <c r="B707" s="112"/>
      <c r="D707" s="115"/>
      <c r="E707" s="115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</row>
    <row r="708" spans="1:41" ht="15.75" customHeight="1">
      <c r="A708" s="112"/>
      <c r="B708" s="112"/>
      <c r="D708" s="115"/>
      <c r="E708" s="115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</row>
    <row r="709" spans="1:41" ht="15.75" customHeight="1">
      <c r="A709" s="112"/>
      <c r="B709" s="112"/>
      <c r="D709" s="115"/>
      <c r="E709" s="115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</row>
    <row r="710" spans="1:41" ht="15.75" customHeight="1">
      <c r="A710" s="112"/>
      <c r="B710" s="112"/>
      <c r="D710" s="115"/>
      <c r="E710" s="115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</row>
    <row r="711" spans="1:41" ht="15.75" customHeight="1">
      <c r="A711" s="112"/>
      <c r="B711" s="112"/>
      <c r="D711" s="115"/>
      <c r="E711" s="115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</row>
    <row r="712" spans="1:41" ht="15.75" customHeight="1">
      <c r="A712" s="112"/>
      <c r="B712" s="112"/>
      <c r="D712" s="115"/>
      <c r="E712" s="115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</row>
    <row r="713" spans="1:41" ht="15.75" customHeight="1">
      <c r="A713" s="112"/>
      <c r="B713" s="112"/>
      <c r="D713" s="115"/>
      <c r="E713" s="115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</row>
    <row r="714" spans="1:41" ht="15.75" customHeight="1">
      <c r="A714" s="112"/>
      <c r="B714" s="112"/>
      <c r="D714" s="115"/>
      <c r="E714" s="115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</row>
    <row r="715" spans="1:41" ht="15.75" customHeight="1">
      <c r="A715" s="112"/>
      <c r="B715" s="112"/>
      <c r="D715" s="115"/>
      <c r="E715" s="115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</row>
    <row r="716" spans="1:41" ht="15.75" customHeight="1">
      <c r="A716" s="112"/>
      <c r="B716" s="112"/>
      <c r="D716" s="115"/>
      <c r="E716" s="115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</row>
    <row r="717" spans="1:41" ht="15.75" customHeight="1">
      <c r="A717" s="112"/>
      <c r="B717" s="112"/>
      <c r="D717" s="115"/>
      <c r="E717" s="115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</row>
    <row r="718" spans="1:41" ht="15.75" customHeight="1">
      <c r="A718" s="112"/>
      <c r="B718" s="112"/>
      <c r="D718" s="115"/>
      <c r="E718" s="115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</row>
    <row r="719" spans="1:41" ht="15.75" customHeight="1">
      <c r="A719" s="112"/>
      <c r="B719" s="112"/>
      <c r="D719" s="115"/>
      <c r="E719" s="115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</row>
    <row r="720" spans="1:41" ht="15.75" customHeight="1">
      <c r="A720" s="112"/>
      <c r="B720" s="112"/>
      <c r="D720" s="115"/>
      <c r="E720" s="115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</row>
    <row r="721" spans="1:41" ht="15.75" customHeight="1">
      <c r="A721" s="112"/>
      <c r="B721" s="112"/>
      <c r="D721" s="115"/>
      <c r="E721" s="115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</row>
    <row r="722" spans="1:41" ht="15.75" customHeight="1">
      <c r="A722" s="112"/>
      <c r="B722" s="112"/>
      <c r="D722" s="115"/>
      <c r="E722" s="115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</row>
    <row r="723" spans="1:41" ht="15.75" customHeight="1">
      <c r="A723" s="112"/>
      <c r="B723" s="112"/>
      <c r="D723" s="115"/>
      <c r="E723" s="115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</row>
    <row r="724" spans="1:41" ht="15.75" customHeight="1">
      <c r="A724" s="112"/>
      <c r="B724" s="112"/>
      <c r="D724" s="115"/>
      <c r="E724" s="115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</row>
    <row r="725" spans="1:41" ht="15.75" customHeight="1">
      <c r="A725" s="112"/>
      <c r="B725" s="112"/>
      <c r="D725" s="115"/>
      <c r="E725" s="115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</row>
    <row r="726" spans="1:41" ht="15.75" customHeight="1">
      <c r="A726" s="112"/>
      <c r="B726" s="112"/>
      <c r="D726" s="115"/>
      <c r="E726" s="115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</row>
    <row r="727" spans="1:41" ht="15.75" customHeight="1">
      <c r="A727" s="112"/>
      <c r="B727" s="112"/>
      <c r="D727" s="115"/>
      <c r="E727" s="115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</row>
    <row r="728" spans="1:41" ht="15.75" customHeight="1">
      <c r="A728" s="112"/>
      <c r="B728" s="112"/>
      <c r="D728" s="115"/>
      <c r="E728" s="115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</row>
    <row r="729" spans="1:41" ht="15.75" customHeight="1">
      <c r="A729" s="112"/>
      <c r="B729" s="112"/>
      <c r="D729" s="115"/>
      <c r="E729" s="115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</row>
    <row r="730" spans="1:41" ht="15.75" customHeight="1">
      <c r="A730" s="112"/>
      <c r="B730" s="112"/>
      <c r="D730" s="115"/>
      <c r="E730" s="115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</row>
    <row r="731" spans="1:41" ht="15.75" customHeight="1">
      <c r="A731" s="112"/>
      <c r="B731" s="112"/>
      <c r="D731" s="115"/>
      <c r="E731" s="115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</row>
    <row r="732" spans="1:41" ht="15.75" customHeight="1">
      <c r="A732" s="112"/>
      <c r="B732" s="112"/>
      <c r="D732" s="115"/>
      <c r="E732" s="115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</row>
    <row r="733" spans="1:41" ht="15.75" customHeight="1">
      <c r="A733" s="112"/>
      <c r="B733" s="112"/>
      <c r="D733" s="115"/>
      <c r="E733" s="115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</row>
    <row r="734" spans="1:41" ht="15.75" customHeight="1">
      <c r="A734" s="112"/>
      <c r="B734" s="112"/>
      <c r="D734" s="115"/>
      <c r="E734" s="115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</row>
    <row r="735" spans="1:41" ht="15.75" customHeight="1">
      <c r="A735" s="112"/>
      <c r="B735" s="112"/>
      <c r="D735" s="115"/>
      <c r="E735" s="115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</row>
    <row r="736" spans="1:41" ht="15.75" customHeight="1">
      <c r="A736" s="112"/>
      <c r="B736" s="112"/>
      <c r="D736" s="115"/>
      <c r="E736" s="115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</row>
    <row r="737" spans="1:41" ht="15.75" customHeight="1">
      <c r="A737" s="112"/>
      <c r="B737" s="112"/>
      <c r="D737" s="115"/>
      <c r="E737" s="115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</row>
    <row r="738" spans="1:41" ht="15.75" customHeight="1">
      <c r="A738" s="112"/>
      <c r="B738" s="112"/>
      <c r="D738" s="115"/>
      <c r="E738" s="115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</row>
    <row r="739" spans="1:41" ht="15.75" customHeight="1">
      <c r="A739" s="112"/>
      <c r="B739" s="112"/>
      <c r="D739" s="115"/>
      <c r="E739" s="115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</row>
    <row r="740" spans="1:41" ht="15.75" customHeight="1">
      <c r="A740" s="112"/>
      <c r="B740" s="112"/>
      <c r="D740" s="115"/>
      <c r="E740" s="115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</row>
    <row r="741" spans="1:41" ht="15.75" customHeight="1">
      <c r="A741" s="112"/>
      <c r="B741" s="112"/>
      <c r="D741" s="115"/>
      <c r="E741" s="115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</row>
    <row r="742" spans="1:41" ht="15.75" customHeight="1">
      <c r="A742" s="112"/>
      <c r="B742" s="112"/>
      <c r="D742" s="115"/>
      <c r="E742" s="115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</row>
    <row r="743" spans="1:41" ht="15.75" customHeight="1">
      <c r="A743" s="112"/>
      <c r="B743" s="112"/>
      <c r="D743" s="115"/>
      <c r="E743" s="115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</row>
    <row r="744" spans="1:41" ht="15.75" customHeight="1">
      <c r="A744" s="112"/>
      <c r="B744" s="112"/>
      <c r="D744" s="115"/>
      <c r="E744" s="115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</row>
    <row r="745" spans="1:41" ht="15.75" customHeight="1">
      <c r="A745" s="112"/>
      <c r="B745" s="112"/>
      <c r="D745" s="115"/>
      <c r="E745" s="115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</row>
    <row r="746" spans="1:41" ht="15.75" customHeight="1">
      <c r="A746" s="112"/>
      <c r="B746" s="112"/>
      <c r="D746" s="115"/>
      <c r="E746" s="115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</row>
    <row r="747" spans="1:41" ht="15.75" customHeight="1">
      <c r="A747" s="112"/>
      <c r="B747" s="112"/>
      <c r="D747" s="115"/>
      <c r="E747" s="115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</row>
    <row r="748" spans="1:41" ht="15.75" customHeight="1">
      <c r="A748" s="112"/>
      <c r="B748" s="112"/>
      <c r="D748" s="115"/>
      <c r="E748" s="115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</row>
    <row r="749" spans="1:41" ht="15.75" customHeight="1">
      <c r="A749" s="112"/>
      <c r="B749" s="112"/>
      <c r="D749" s="115"/>
      <c r="E749" s="115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</row>
    <row r="750" spans="1:41" ht="15.75" customHeight="1">
      <c r="A750" s="112"/>
      <c r="B750" s="112"/>
      <c r="D750" s="115"/>
      <c r="E750" s="115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</row>
    <row r="751" spans="1:41" ht="15.75" customHeight="1">
      <c r="A751" s="112"/>
      <c r="B751" s="112"/>
      <c r="D751" s="115"/>
      <c r="E751" s="115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</row>
    <row r="752" spans="1:41" ht="15.75" customHeight="1">
      <c r="A752" s="112"/>
      <c r="B752" s="112"/>
      <c r="D752" s="115"/>
      <c r="E752" s="115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</row>
    <row r="753" spans="1:41" ht="15.75" customHeight="1">
      <c r="A753" s="112"/>
      <c r="B753" s="112"/>
      <c r="D753" s="115"/>
      <c r="E753" s="115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</row>
    <row r="754" spans="1:41" ht="15.75" customHeight="1">
      <c r="A754" s="112"/>
      <c r="B754" s="112"/>
      <c r="D754" s="115"/>
      <c r="E754" s="115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</row>
    <row r="755" spans="1:41" ht="15.75" customHeight="1">
      <c r="A755" s="112"/>
      <c r="B755" s="112"/>
      <c r="D755" s="115"/>
      <c r="E755" s="115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</row>
    <row r="756" spans="1:41" ht="15.75" customHeight="1">
      <c r="A756" s="112"/>
      <c r="B756" s="112"/>
      <c r="D756" s="115"/>
      <c r="E756" s="115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</row>
    <row r="757" spans="1:41" ht="15.75" customHeight="1">
      <c r="A757" s="112"/>
      <c r="B757" s="112"/>
      <c r="D757" s="115"/>
      <c r="E757" s="115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</row>
    <row r="758" spans="1:41" ht="15.75" customHeight="1">
      <c r="A758" s="112"/>
      <c r="B758" s="112"/>
      <c r="D758" s="115"/>
      <c r="E758" s="115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</row>
    <row r="759" spans="1:41" ht="15.75" customHeight="1">
      <c r="A759" s="112"/>
      <c r="B759" s="112"/>
      <c r="D759" s="115"/>
      <c r="E759" s="115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</row>
    <row r="760" spans="1:41" ht="15.75" customHeight="1">
      <c r="A760" s="112"/>
      <c r="B760" s="112"/>
      <c r="D760" s="115"/>
      <c r="E760" s="115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</row>
    <row r="761" spans="1:41" ht="15.75" customHeight="1">
      <c r="A761" s="112"/>
      <c r="B761" s="112"/>
      <c r="D761" s="115"/>
      <c r="E761" s="115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</row>
    <row r="762" spans="1:41" ht="15.75" customHeight="1">
      <c r="A762" s="112"/>
      <c r="B762" s="112"/>
      <c r="D762" s="115"/>
      <c r="E762" s="115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</row>
    <row r="763" spans="1:41" ht="15.75" customHeight="1">
      <c r="A763" s="112"/>
      <c r="B763" s="112"/>
      <c r="D763" s="115"/>
      <c r="E763" s="115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</row>
    <row r="764" spans="1:41" ht="15.75" customHeight="1">
      <c r="A764" s="112"/>
      <c r="B764" s="112"/>
      <c r="D764" s="115"/>
      <c r="E764" s="115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</row>
    <row r="765" spans="1:41" ht="15.75" customHeight="1">
      <c r="A765" s="112"/>
      <c r="B765" s="112"/>
      <c r="D765" s="115"/>
      <c r="E765" s="115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</row>
    <row r="766" spans="1:41" ht="15.75" customHeight="1">
      <c r="A766" s="112"/>
      <c r="B766" s="112"/>
      <c r="D766" s="115"/>
      <c r="E766" s="115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</row>
    <row r="767" spans="1:41" ht="15.75" customHeight="1">
      <c r="A767" s="112"/>
      <c r="B767" s="112"/>
      <c r="D767" s="115"/>
      <c r="E767" s="115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</row>
    <row r="768" spans="1:41" ht="15.75" customHeight="1">
      <c r="A768" s="112"/>
      <c r="B768" s="112"/>
      <c r="D768" s="115"/>
      <c r="E768" s="115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</row>
    <row r="769" spans="1:41" ht="15.75" customHeight="1">
      <c r="A769" s="112"/>
      <c r="B769" s="112"/>
      <c r="D769" s="115"/>
      <c r="E769" s="115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</row>
    <row r="770" spans="1:41" ht="15.75" customHeight="1">
      <c r="A770" s="112"/>
      <c r="B770" s="112"/>
      <c r="D770" s="115"/>
      <c r="E770" s="115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</row>
    <row r="771" spans="1:41" ht="15.75" customHeight="1">
      <c r="A771" s="112"/>
      <c r="B771" s="112"/>
      <c r="D771" s="115"/>
      <c r="E771" s="115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</row>
    <row r="772" spans="1:41" ht="15.75" customHeight="1">
      <c r="A772" s="112"/>
      <c r="B772" s="112"/>
      <c r="D772" s="115"/>
      <c r="E772" s="115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</row>
    <row r="773" spans="1:41" ht="15.75" customHeight="1">
      <c r="A773" s="112"/>
      <c r="B773" s="112"/>
      <c r="D773" s="115"/>
      <c r="E773" s="115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</row>
    <row r="774" spans="1:41" ht="15.75" customHeight="1">
      <c r="A774" s="112"/>
      <c r="B774" s="112"/>
      <c r="D774" s="115"/>
      <c r="E774" s="115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</row>
    <row r="775" spans="1:41" ht="15.75" customHeight="1">
      <c r="A775" s="112"/>
      <c r="B775" s="112"/>
      <c r="D775" s="115"/>
      <c r="E775" s="115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</row>
    <row r="776" spans="1:41" ht="15.75" customHeight="1">
      <c r="A776" s="112"/>
      <c r="B776" s="112"/>
      <c r="D776" s="115"/>
      <c r="E776" s="115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</row>
    <row r="777" spans="1:41" ht="15.75" customHeight="1">
      <c r="A777" s="112"/>
      <c r="B777" s="112"/>
      <c r="D777" s="115"/>
      <c r="E777" s="115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</row>
    <row r="778" spans="1:41" ht="15.75" customHeight="1">
      <c r="A778" s="112"/>
      <c r="B778" s="112"/>
      <c r="D778" s="115"/>
      <c r="E778" s="115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</row>
    <row r="779" spans="1:41" ht="15.75" customHeight="1">
      <c r="A779" s="112"/>
      <c r="B779" s="112"/>
      <c r="D779" s="115"/>
      <c r="E779" s="115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</row>
    <row r="780" spans="1:41" ht="15.75" customHeight="1">
      <c r="A780" s="112"/>
      <c r="B780" s="112"/>
      <c r="D780" s="115"/>
      <c r="E780" s="115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</row>
    <row r="781" spans="1:41" ht="15.75" customHeight="1">
      <c r="A781" s="112"/>
      <c r="B781" s="112"/>
      <c r="D781" s="115"/>
      <c r="E781" s="115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</row>
    <row r="782" spans="1:41" ht="15.75" customHeight="1">
      <c r="A782" s="112"/>
      <c r="B782" s="112"/>
      <c r="D782" s="115"/>
      <c r="E782" s="115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</row>
    <row r="783" spans="1:41" ht="15.75" customHeight="1">
      <c r="A783" s="112"/>
      <c r="B783" s="112"/>
      <c r="D783" s="115"/>
      <c r="E783" s="115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</row>
    <row r="784" spans="1:41" ht="15.75" customHeight="1">
      <c r="A784" s="112"/>
      <c r="B784" s="112"/>
      <c r="D784" s="115"/>
      <c r="E784" s="115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</row>
    <row r="785" spans="1:41" ht="15.75" customHeight="1">
      <c r="A785" s="112"/>
      <c r="B785" s="112"/>
      <c r="D785" s="115"/>
      <c r="E785" s="115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</row>
    <row r="786" spans="1:41" ht="15.75" customHeight="1">
      <c r="A786" s="112"/>
      <c r="B786" s="112"/>
      <c r="D786" s="115"/>
      <c r="E786" s="115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</row>
    <row r="787" spans="1:41" ht="15.75" customHeight="1">
      <c r="A787" s="112"/>
      <c r="B787" s="112"/>
      <c r="D787" s="115"/>
      <c r="E787" s="115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</row>
    <row r="788" spans="1:41" ht="15.75" customHeight="1">
      <c r="A788" s="112"/>
      <c r="B788" s="112"/>
      <c r="D788" s="115"/>
      <c r="E788" s="115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</row>
    <row r="789" spans="1:41" ht="15.75" customHeight="1">
      <c r="A789" s="112"/>
      <c r="B789" s="112"/>
      <c r="D789" s="115"/>
      <c r="E789" s="115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</row>
    <row r="790" spans="1:41" ht="15.75" customHeight="1">
      <c r="A790" s="112"/>
      <c r="B790" s="112"/>
      <c r="D790" s="115"/>
      <c r="E790" s="115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</row>
    <row r="791" spans="1:41" ht="15.75" customHeight="1">
      <c r="A791" s="112"/>
      <c r="B791" s="112"/>
      <c r="D791" s="115"/>
      <c r="E791" s="115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</row>
    <row r="792" spans="1:41" ht="15.75" customHeight="1">
      <c r="A792" s="112"/>
      <c r="B792" s="112"/>
      <c r="D792" s="115"/>
      <c r="E792" s="115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</row>
    <row r="793" spans="1:41" ht="15.75" customHeight="1">
      <c r="A793" s="112"/>
      <c r="B793" s="112"/>
      <c r="D793" s="115"/>
      <c r="E793" s="115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</row>
    <row r="794" spans="1:41" ht="15.75" customHeight="1">
      <c r="A794" s="112"/>
      <c r="B794" s="112"/>
      <c r="D794" s="115"/>
      <c r="E794" s="115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</row>
    <row r="795" spans="1:41" ht="15.75" customHeight="1">
      <c r="A795" s="112"/>
      <c r="B795" s="112"/>
      <c r="D795" s="115"/>
      <c r="E795" s="115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</row>
    <row r="796" spans="1:41" ht="15.75" customHeight="1">
      <c r="A796" s="112"/>
      <c r="B796" s="112"/>
      <c r="D796" s="115"/>
      <c r="E796" s="115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</row>
    <row r="797" spans="1:41" ht="15.75" customHeight="1">
      <c r="A797" s="112"/>
      <c r="B797" s="112"/>
      <c r="D797" s="115"/>
      <c r="E797" s="115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</row>
    <row r="798" spans="1:41" ht="15.75" customHeight="1">
      <c r="A798" s="112"/>
      <c r="B798" s="112"/>
      <c r="D798" s="115"/>
      <c r="E798" s="115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</row>
    <row r="799" spans="1:41" ht="15.75" customHeight="1">
      <c r="A799" s="112"/>
      <c r="B799" s="112"/>
      <c r="D799" s="115"/>
      <c r="E799" s="115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</row>
    <row r="800" spans="1:41" ht="15.75" customHeight="1">
      <c r="A800" s="112"/>
      <c r="B800" s="112"/>
      <c r="D800" s="115"/>
      <c r="E800" s="115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</row>
    <row r="801" spans="1:41" ht="15.75" customHeight="1">
      <c r="A801" s="112"/>
      <c r="B801" s="112"/>
      <c r="D801" s="115"/>
      <c r="E801" s="115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</row>
    <row r="802" spans="1:41" ht="15.75" customHeight="1">
      <c r="A802" s="112"/>
      <c r="B802" s="112"/>
      <c r="D802" s="115"/>
      <c r="E802" s="115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</row>
    <row r="803" spans="1:41" ht="15.75" customHeight="1">
      <c r="A803" s="112"/>
      <c r="B803" s="112"/>
      <c r="D803" s="115"/>
      <c r="E803" s="115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</row>
    <row r="804" spans="1:41" ht="15.75" customHeight="1">
      <c r="A804" s="112"/>
      <c r="B804" s="112"/>
      <c r="D804" s="115"/>
      <c r="E804" s="115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</row>
    <row r="805" spans="1:41" ht="15.75" customHeight="1">
      <c r="A805" s="112"/>
      <c r="B805" s="112"/>
      <c r="D805" s="115"/>
      <c r="E805" s="115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</row>
    <row r="806" spans="1:41" ht="15.75" customHeight="1">
      <c r="A806" s="112"/>
      <c r="B806" s="112"/>
      <c r="D806" s="115"/>
      <c r="E806" s="115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</row>
    <row r="807" spans="1:41" ht="15.75" customHeight="1">
      <c r="A807" s="112"/>
      <c r="B807" s="112"/>
      <c r="D807" s="115"/>
      <c r="E807" s="115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</row>
    <row r="808" spans="1:41" ht="15.75" customHeight="1">
      <c r="A808" s="112"/>
      <c r="B808" s="112"/>
      <c r="D808" s="115"/>
      <c r="E808" s="115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</row>
    <row r="809" spans="1:41" ht="15.75" customHeight="1">
      <c r="A809" s="112"/>
      <c r="B809" s="112"/>
      <c r="D809" s="115"/>
      <c r="E809" s="115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</row>
    <row r="810" spans="1:41" ht="15.75" customHeight="1">
      <c r="A810" s="112"/>
      <c r="B810" s="112"/>
      <c r="D810" s="115"/>
      <c r="E810" s="115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</row>
    <row r="811" spans="1:41" ht="15.75" customHeight="1">
      <c r="A811" s="112"/>
      <c r="B811" s="112"/>
      <c r="D811" s="115"/>
      <c r="E811" s="115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</row>
    <row r="812" spans="1:41" ht="15.75" customHeight="1">
      <c r="A812" s="112"/>
      <c r="B812" s="112"/>
      <c r="D812" s="115"/>
      <c r="E812" s="115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</row>
    <row r="813" spans="1:41" ht="15.75" customHeight="1">
      <c r="A813" s="112"/>
      <c r="B813" s="112"/>
      <c r="D813" s="115"/>
      <c r="E813" s="115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</row>
    <row r="814" spans="1:41" ht="15.75" customHeight="1">
      <c r="A814" s="112"/>
      <c r="B814" s="112"/>
      <c r="D814" s="115"/>
      <c r="E814" s="115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</row>
    <row r="815" spans="1:41" ht="15.75" customHeight="1">
      <c r="A815" s="112"/>
      <c r="B815" s="112"/>
      <c r="D815" s="115"/>
      <c r="E815" s="115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</row>
    <row r="816" spans="1:41" ht="15.75" customHeight="1">
      <c r="A816" s="112"/>
      <c r="B816" s="112"/>
      <c r="D816" s="115"/>
      <c r="E816" s="115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</row>
    <row r="817" spans="1:41" ht="15.75" customHeight="1">
      <c r="A817" s="112"/>
      <c r="B817" s="112"/>
      <c r="D817" s="115"/>
      <c r="E817" s="115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</row>
    <row r="818" spans="1:41" ht="15.75" customHeight="1">
      <c r="A818" s="112"/>
      <c r="B818" s="112"/>
      <c r="D818" s="115"/>
      <c r="E818" s="115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</row>
    <row r="819" spans="1:41" ht="15.75" customHeight="1">
      <c r="A819" s="112"/>
      <c r="B819" s="112"/>
      <c r="D819" s="115"/>
      <c r="E819" s="115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</row>
    <row r="820" spans="1:41" ht="15.75" customHeight="1">
      <c r="A820" s="112"/>
      <c r="B820" s="112"/>
      <c r="D820" s="115"/>
      <c r="E820" s="115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</row>
    <row r="821" spans="1:41" ht="15.75" customHeight="1">
      <c r="A821" s="112"/>
      <c r="B821" s="112"/>
      <c r="D821" s="115"/>
      <c r="E821" s="115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</row>
    <row r="822" spans="1:41" ht="15.75" customHeight="1">
      <c r="A822" s="112"/>
      <c r="B822" s="112"/>
      <c r="D822" s="115"/>
      <c r="E822" s="115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</row>
    <row r="823" spans="1:41" ht="15.75" customHeight="1">
      <c r="A823" s="112"/>
      <c r="B823" s="112"/>
      <c r="D823" s="115"/>
      <c r="E823" s="115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</row>
    <row r="824" spans="1:41" ht="15.75" customHeight="1">
      <c r="A824" s="112"/>
      <c r="B824" s="112"/>
      <c r="D824" s="115"/>
      <c r="E824" s="115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</row>
    <row r="825" spans="1:41" ht="15.75" customHeight="1">
      <c r="A825" s="112"/>
      <c r="B825" s="112"/>
      <c r="D825" s="115"/>
      <c r="E825" s="115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</row>
    <row r="826" spans="1:41" ht="15.75" customHeight="1">
      <c r="A826" s="112"/>
      <c r="B826" s="112"/>
      <c r="D826" s="115"/>
      <c r="E826" s="115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</row>
    <row r="827" spans="1:41" ht="15.75" customHeight="1">
      <c r="A827" s="112"/>
      <c r="B827" s="112"/>
      <c r="D827" s="115"/>
      <c r="E827" s="115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</row>
    <row r="828" spans="1:41" ht="15.75" customHeight="1">
      <c r="A828" s="112"/>
      <c r="B828" s="112"/>
      <c r="D828" s="115"/>
      <c r="E828" s="115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</row>
    <row r="829" spans="1:41" ht="15.75" customHeight="1">
      <c r="A829" s="112"/>
      <c r="B829" s="112"/>
      <c r="D829" s="115"/>
      <c r="E829" s="115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</row>
    <row r="830" spans="1:41" ht="15.75" customHeight="1">
      <c r="A830" s="112"/>
      <c r="B830" s="112"/>
      <c r="D830" s="115"/>
      <c r="E830" s="115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</row>
    <row r="831" spans="1:41" ht="15.75" customHeight="1">
      <c r="A831" s="112"/>
      <c r="B831" s="112"/>
      <c r="D831" s="115"/>
      <c r="E831" s="115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</row>
    <row r="832" spans="1:41" ht="15.75" customHeight="1">
      <c r="A832" s="112"/>
      <c r="B832" s="112"/>
      <c r="D832" s="115"/>
      <c r="E832" s="115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</row>
    <row r="833" spans="1:41" ht="15.75" customHeight="1">
      <c r="A833" s="112"/>
      <c r="B833" s="112"/>
      <c r="D833" s="115"/>
      <c r="E833" s="115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</row>
    <row r="834" spans="1:41" ht="15.75" customHeight="1">
      <c r="A834" s="112"/>
      <c r="B834" s="112"/>
      <c r="D834" s="115"/>
      <c r="E834" s="115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</row>
    <row r="835" spans="1:41" ht="15.75" customHeight="1">
      <c r="A835" s="112"/>
      <c r="B835" s="112"/>
      <c r="D835" s="115"/>
      <c r="E835" s="115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</row>
    <row r="836" spans="1:41" ht="15.75" customHeight="1">
      <c r="A836" s="112"/>
      <c r="B836" s="112"/>
      <c r="D836" s="115"/>
      <c r="E836" s="115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</row>
    <row r="837" spans="1:41" ht="15.75" customHeight="1">
      <c r="A837" s="112"/>
      <c r="B837" s="112"/>
      <c r="D837" s="115"/>
      <c r="E837" s="115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</row>
    <row r="838" spans="1:41" ht="15.75" customHeight="1">
      <c r="A838" s="112"/>
      <c r="B838" s="112"/>
      <c r="D838" s="115"/>
      <c r="E838" s="115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</row>
    <row r="839" spans="1:41" ht="15.75" customHeight="1">
      <c r="A839" s="112"/>
      <c r="B839" s="112"/>
      <c r="D839" s="115"/>
      <c r="E839" s="115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</row>
    <row r="840" spans="1:41" ht="15.75" customHeight="1">
      <c r="A840" s="112"/>
      <c r="B840" s="112"/>
      <c r="D840" s="115"/>
      <c r="E840" s="115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</row>
    <row r="841" spans="1:41" ht="15.75" customHeight="1">
      <c r="A841" s="112"/>
      <c r="B841" s="112"/>
      <c r="D841" s="115"/>
      <c r="E841" s="115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</row>
    <row r="842" spans="1:41" ht="15.75" customHeight="1">
      <c r="A842" s="112"/>
      <c r="B842" s="112"/>
      <c r="D842" s="115"/>
      <c r="E842" s="115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</row>
    <row r="843" spans="1:41" ht="15.75" customHeight="1">
      <c r="A843" s="112"/>
      <c r="B843" s="112"/>
      <c r="D843" s="115"/>
      <c r="E843" s="115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</row>
    <row r="844" spans="1:41" ht="15.75" customHeight="1">
      <c r="A844" s="112"/>
      <c r="B844" s="112"/>
      <c r="D844" s="115"/>
      <c r="E844" s="115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</row>
    <row r="845" spans="1:41" ht="15.75" customHeight="1">
      <c r="A845" s="112"/>
      <c r="B845" s="112"/>
      <c r="D845" s="115"/>
      <c r="E845" s="115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</row>
    <row r="846" spans="1:41" ht="15.75" customHeight="1">
      <c r="A846" s="112"/>
      <c r="B846" s="112"/>
      <c r="D846" s="115"/>
      <c r="E846" s="115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</row>
    <row r="847" spans="1:41" ht="15.75" customHeight="1">
      <c r="A847" s="112"/>
      <c r="B847" s="112"/>
      <c r="D847" s="115"/>
      <c r="E847" s="115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</row>
    <row r="848" spans="1:41" ht="15.75" customHeight="1">
      <c r="A848" s="112"/>
      <c r="B848" s="112"/>
      <c r="D848" s="115"/>
      <c r="E848" s="115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</row>
    <row r="849" spans="1:41" ht="15.75" customHeight="1">
      <c r="A849" s="112"/>
      <c r="B849" s="112"/>
      <c r="D849" s="115"/>
      <c r="E849" s="115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</row>
    <row r="850" spans="1:41" ht="15.75" customHeight="1">
      <c r="A850" s="112"/>
      <c r="B850" s="112"/>
      <c r="D850" s="115"/>
      <c r="E850" s="115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</row>
    <row r="851" spans="1:41" ht="15.75" customHeight="1">
      <c r="A851" s="112"/>
      <c r="B851" s="112"/>
      <c r="D851" s="115"/>
      <c r="E851" s="115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</row>
    <row r="852" spans="1:41" ht="15.75" customHeight="1">
      <c r="A852" s="112"/>
      <c r="B852" s="112"/>
      <c r="D852" s="115"/>
      <c r="E852" s="115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</row>
    <row r="853" spans="1:41" ht="15.75" customHeight="1">
      <c r="A853" s="112"/>
      <c r="B853" s="112"/>
      <c r="D853" s="115"/>
      <c r="E853" s="115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</row>
    <row r="854" spans="1:41" ht="15.75" customHeight="1">
      <c r="A854" s="112"/>
      <c r="B854" s="112"/>
      <c r="D854" s="115"/>
      <c r="E854" s="115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</row>
    <row r="855" spans="1:41" ht="15.75" customHeight="1">
      <c r="A855" s="112"/>
      <c r="B855" s="112"/>
      <c r="D855" s="115"/>
      <c r="E855" s="115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</row>
    <row r="856" spans="1:41" ht="15.75" customHeight="1">
      <c r="A856" s="112"/>
      <c r="B856" s="112"/>
      <c r="D856" s="115"/>
      <c r="E856" s="115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</row>
    <row r="857" spans="1:41" ht="15.75" customHeight="1">
      <c r="A857" s="112"/>
      <c r="B857" s="112"/>
      <c r="D857" s="115"/>
      <c r="E857" s="115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</row>
    <row r="858" spans="1:41" ht="15.75" customHeight="1">
      <c r="A858" s="112"/>
      <c r="B858" s="112"/>
      <c r="D858" s="115"/>
      <c r="E858" s="115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</row>
    <row r="859" spans="1:41" ht="15.75" customHeight="1">
      <c r="A859" s="112"/>
      <c r="B859" s="112"/>
      <c r="D859" s="115"/>
      <c r="E859" s="115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</row>
    <row r="860" spans="1:41" ht="15.75" customHeight="1">
      <c r="A860" s="112"/>
      <c r="B860" s="112"/>
      <c r="D860" s="115"/>
      <c r="E860" s="115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</row>
    <row r="861" spans="1:41" ht="15.75" customHeight="1">
      <c r="A861" s="112"/>
      <c r="B861" s="112"/>
      <c r="D861" s="115"/>
      <c r="E861" s="115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</row>
    <row r="862" spans="1:41" ht="15.75" customHeight="1">
      <c r="A862" s="112"/>
      <c r="B862" s="112"/>
      <c r="D862" s="115"/>
      <c r="E862" s="115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</row>
    <row r="863" spans="1:41" ht="15.75" customHeight="1">
      <c r="A863" s="112"/>
      <c r="B863" s="112"/>
      <c r="D863" s="115"/>
      <c r="E863" s="115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</row>
    <row r="864" spans="1:41" ht="15.75" customHeight="1">
      <c r="A864" s="112"/>
      <c r="B864" s="112"/>
      <c r="D864" s="115"/>
      <c r="E864" s="115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</row>
    <row r="865" spans="1:41" ht="15.75" customHeight="1">
      <c r="A865" s="112"/>
      <c r="B865" s="112"/>
      <c r="D865" s="115"/>
      <c r="E865" s="115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</row>
    <row r="866" spans="1:41" ht="15.75" customHeight="1">
      <c r="A866" s="112"/>
      <c r="B866" s="112"/>
      <c r="D866" s="115"/>
      <c r="E866" s="115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</row>
    <row r="867" spans="1:41" ht="15.75" customHeight="1">
      <c r="A867" s="112"/>
      <c r="B867" s="112"/>
      <c r="D867" s="115"/>
      <c r="E867" s="115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</row>
    <row r="868" spans="1:41" ht="15.75" customHeight="1">
      <c r="A868" s="112"/>
      <c r="B868" s="112"/>
      <c r="D868" s="115"/>
      <c r="E868" s="115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</row>
    <row r="869" spans="1:41" ht="15.75" customHeight="1">
      <c r="A869" s="112"/>
      <c r="B869" s="112"/>
      <c r="D869" s="115"/>
      <c r="E869" s="115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</row>
    <row r="870" spans="1:41" ht="15.75" customHeight="1">
      <c r="A870" s="112"/>
      <c r="B870" s="112"/>
      <c r="D870" s="115"/>
      <c r="E870" s="115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</row>
    <row r="871" spans="1:41" ht="15.75" customHeight="1">
      <c r="A871" s="112"/>
      <c r="B871" s="112"/>
      <c r="D871" s="115"/>
      <c r="E871" s="115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</row>
    <row r="872" spans="1:41" ht="15.75" customHeight="1">
      <c r="A872" s="112"/>
      <c r="B872" s="112"/>
      <c r="D872" s="115"/>
      <c r="E872" s="115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</row>
    <row r="873" spans="1:41" ht="15.75" customHeight="1">
      <c r="A873" s="112"/>
      <c r="B873" s="112"/>
      <c r="D873" s="115"/>
      <c r="E873" s="115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</row>
    <row r="874" spans="1:41" ht="15.75" customHeight="1">
      <c r="A874" s="112"/>
      <c r="B874" s="112"/>
      <c r="D874" s="115"/>
      <c r="E874" s="115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</row>
    <row r="875" spans="1:41" ht="15.75" customHeight="1">
      <c r="A875" s="112"/>
      <c r="B875" s="112"/>
      <c r="D875" s="115"/>
      <c r="E875" s="115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</row>
    <row r="876" spans="1:41" ht="15.75" customHeight="1">
      <c r="A876" s="112"/>
      <c r="B876" s="112"/>
      <c r="D876" s="115"/>
      <c r="E876" s="115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</row>
    <row r="877" spans="1:41" ht="15.75" customHeight="1">
      <c r="A877" s="112"/>
      <c r="B877" s="112"/>
      <c r="D877" s="115"/>
      <c r="E877" s="115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</row>
    <row r="878" spans="1:41" ht="15.75" customHeight="1">
      <c r="A878" s="112"/>
      <c r="B878" s="112"/>
      <c r="D878" s="115"/>
      <c r="E878" s="115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</row>
    <row r="879" spans="1:41" ht="15.75" customHeight="1">
      <c r="A879" s="112"/>
      <c r="B879" s="112"/>
      <c r="D879" s="115"/>
      <c r="E879" s="115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</row>
    <row r="880" spans="1:41" ht="15.75" customHeight="1">
      <c r="A880" s="112"/>
      <c r="B880" s="112"/>
      <c r="D880" s="115"/>
      <c r="E880" s="115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</row>
    <row r="881" spans="1:41" ht="15.75" customHeight="1">
      <c r="A881" s="112"/>
      <c r="B881" s="112"/>
      <c r="D881" s="115"/>
      <c r="E881" s="115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</row>
    <row r="882" spans="1:41" ht="15.75" customHeight="1">
      <c r="A882" s="112"/>
      <c r="B882" s="112"/>
      <c r="D882" s="115"/>
      <c r="E882" s="115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</row>
    <row r="883" spans="1:41" ht="15.75" customHeight="1">
      <c r="A883" s="112"/>
      <c r="B883" s="112"/>
      <c r="D883" s="115"/>
      <c r="E883" s="115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</row>
    <row r="884" spans="1:41" ht="15.75" customHeight="1">
      <c r="A884" s="112"/>
      <c r="B884" s="112"/>
      <c r="D884" s="115"/>
      <c r="E884" s="115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</row>
    <row r="885" spans="1:41" ht="15.75" customHeight="1">
      <c r="A885" s="112"/>
      <c r="B885" s="112"/>
      <c r="D885" s="115"/>
      <c r="E885" s="115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</row>
    <row r="886" spans="1:41" ht="15.75" customHeight="1">
      <c r="A886" s="112"/>
      <c r="B886" s="112"/>
      <c r="D886" s="115"/>
      <c r="E886" s="115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</row>
    <row r="887" spans="1:41" ht="15.75" customHeight="1">
      <c r="A887" s="112"/>
      <c r="B887" s="112"/>
      <c r="D887" s="115"/>
      <c r="E887" s="115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</row>
    <row r="888" spans="1:41" ht="15.75" customHeight="1">
      <c r="A888" s="112"/>
      <c r="B888" s="112"/>
      <c r="D888" s="115"/>
      <c r="E888" s="115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</row>
    <row r="889" spans="1:41" ht="15.75" customHeight="1">
      <c r="A889" s="112"/>
      <c r="B889" s="112"/>
      <c r="D889" s="115"/>
      <c r="E889" s="115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</row>
    <row r="890" spans="1:41" ht="15.75" customHeight="1">
      <c r="A890" s="112"/>
      <c r="B890" s="112"/>
      <c r="D890" s="115"/>
      <c r="E890" s="115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</row>
    <row r="891" spans="1:41" ht="15.75" customHeight="1">
      <c r="A891" s="112"/>
      <c r="B891" s="112"/>
      <c r="D891" s="115"/>
      <c r="E891" s="115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</row>
    <row r="892" spans="1:41" ht="15.75" customHeight="1">
      <c r="A892" s="112"/>
      <c r="B892" s="112"/>
      <c r="D892" s="115"/>
      <c r="E892" s="115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</row>
    <row r="893" spans="1:41" ht="15.75" customHeight="1">
      <c r="A893" s="112"/>
      <c r="B893" s="112"/>
      <c r="D893" s="115"/>
      <c r="E893" s="115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</row>
    <row r="894" spans="1:41" ht="15.75" customHeight="1">
      <c r="A894" s="112"/>
      <c r="B894" s="112"/>
      <c r="D894" s="115"/>
      <c r="E894" s="115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</row>
    <row r="895" spans="1:41" ht="15.75" customHeight="1">
      <c r="A895" s="112"/>
      <c r="B895" s="112"/>
      <c r="D895" s="115"/>
      <c r="E895" s="115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</row>
    <row r="896" spans="1:41" ht="15.75" customHeight="1">
      <c r="A896" s="112"/>
      <c r="B896" s="112"/>
      <c r="D896" s="115"/>
      <c r="E896" s="115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</row>
    <row r="897" spans="1:41" ht="15.75" customHeight="1">
      <c r="A897" s="112"/>
      <c r="B897" s="112"/>
      <c r="D897" s="115"/>
      <c r="E897" s="115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</row>
    <row r="898" spans="1:41" ht="15.75" customHeight="1">
      <c r="A898" s="112"/>
      <c r="B898" s="112"/>
      <c r="D898" s="115"/>
      <c r="E898" s="115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</row>
    <row r="899" spans="1:41" ht="15.75" customHeight="1">
      <c r="A899" s="112"/>
      <c r="B899" s="112"/>
      <c r="D899" s="115"/>
      <c r="E899" s="115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</row>
    <row r="900" spans="1:41" ht="15.75" customHeight="1">
      <c r="A900" s="112"/>
      <c r="B900" s="112"/>
      <c r="D900" s="115"/>
      <c r="E900" s="115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</row>
    <row r="901" spans="1:41" ht="15.75" customHeight="1">
      <c r="A901" s="112"/>
      <c r="B901" s="112"/>
      <c r="D901" s="115"/>
      <c r="E901" s="115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</row>
    <row r="902" spans="1:41" ht="15.75" customHeight="1">
      <c r="A902" s="112"/>
      <c r="B902" s="112"/>
      <c r="D902" s="115"/>
      <c r="E902" s="115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</row>
    <row r="903" spans="1:41" ht="15.75" customHeight="1">
      <c r="A903" s="112"/>
      <c r="B903" s="112"/>
      <c r="D903" s="115"/>
      <c r="E903" s="115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</row>
    <row r="904" spans="1:41" ht="15.75" customHeight="1">
      <c r="A904" s="112"/>
      <c r="B904" s="112"/>
      <c r="D904" s="115"/>
      <c r="E904" s="115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</row>
    <row r="905" spans="1:41" ht="15.75" customHeight="1">
      <c r="A905" s="112"/>
      <c r="B905" s="112"/>
      <c r="D905" s="115"/>
      <c r="E905" s="115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</row>
    <row r="906" spans="1:41" ht="15.75" customHeight="1">
      <c r="A906" s="112"/>
      <c r="B906" s="112"/>
      <c r="D906" s="115"/>
      <c r="E906" s="115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</row>
    <row r="907" spans="1:41" ht="15.75" customHeight="1">
      <c r="A907" s="112"/>
      <c r="B907" s="112"/>
      <c r="D907" s="115"/>
      <c r="E907" s="115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</row>
    <row r="908" spans="1:41" ht="15.75" customHeight="1">
      <c r="A908" s="112"/>
      <c r="B908" s="112"/>
      <c r="D908" s="115"/>
      <c r="E908" s="115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</row>
    <row r="909" spans="1:41" ht="15.75" customHeight="1">
      <c r="A909" s="112"/>
      <c r="B909" s="112"/>
      <c r="D909" s="115"/>
      <c r="E909" s="115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</row>
    <row r="910" spans="1:41" ht="15.75" customHeight="1">
      <c r="A910" s="112"/>
      <c r="B910" s="112"/>
      <c r="D910" s="115"/>
      <c r="E910" s="115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</row>
    <row r="911" spans="1:41" ht="15.75" customHeight="1">
      <c r="A911" s="112"/>
      <c r="B911" s="112"/>
      <c r="D911" s="115"/>
      <c r="E911" s="115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</row>
    <row r="912" spans="1:41" ht="15.75" customHeight="1">
      <c r="A912" s="112"/>
      <c r="B912" s="112"/>
      <c r="D912" s="115"/>
      <c r="E912" s="115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</row>
    <row r="913" spans="1:41" ht="15.75" customHeight="1">
      <c r="A913" s="112"/>
      <c r="B913" s="112"/>
      <c r="D913" s="115"/>
      <c r="E913" s="115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</row>
    <row r="914" spans="1:41" ht="15.75" customHeight="1">
      <c r="A914" s="112"/>
      <c r="B914" s="112"/>
      <c r="D914" s="115"/>
      <c r="E914" s="115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</row>
    <row r="915" spans="1:41" ht="15.75" customHeight="1">
      <c r="A915" s="112"/>
      <c r="B915" s="112"/>
      <c r="D915" s="115"/>
      <c r="E915" s="115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</row>
    <row r="916" spans="1:41" ht="15.75" customHeight="1">
      <c r="A916" s="112"/>
      <c r="B916" s="112"/>
      <c r="D916" s="115"/>
      <c r="E916" s="115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</row>
    <row r="917" spans="1:41" ht="15.75" customHeight="1">
      <c r="A917" s="112"/>
      <c r="B917" s="112"/>
      <c r="D917" s="115"/>
      <c r="E917" s="115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</row>
    <row r="918" spans="1:41" ht="15.75" customHeight="1">
      <c r="A918" s="112"/>
      <c r="B918" s="112"/>
      <c r="D918" s="115"/>
      <c r="E918" s="115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</row>
    <row r="919" spans="1:41" ht="15.75" customHeight="1">
      <c r="A919" s="112"/>
      <c r="B919" s="112"/>
      <c r="D919" s="115"/>
      <c r="E919" s="115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</row>
    <row r="920" spans="1:41" ht="15.75" customHeight="1">
      <c r="A920" s="112"/>
      <c r="B920" s="112"/>
      <c r="D920" s="115"/>
      <c r="E920" s="115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</row>
    <row r="921" spans="1:41" ht="15.75" customHeight="1">
      <c r="A921" s="112"/>
      <c r="B921" s="112"/>
      <c r="D921" s="115"/>
      <c r="E921" s="115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</row>
    <row r="922" spans="1:41" ht="15.75" customHeight="1">
      <c r="A922" s="112"/>
      <c r="B922" s="112"/>
      <c r="D922" s="115"/>
      <c r="E922" s="115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</row>
    <row r="923" spans="1:41" ht="15.75" customHeight="1">
      <c r="A923" s="112"/>
      <c r="B923" s="112"/>
      <c r="D923" s="115"/>
      <c r="E923" s="115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</row>
    <row r="924" spans="1:41" ht="15.75" customHeight="1">
      <c r="A924" s="112"/>
      <c r="B924" s="112"/>
      <c r="D924" s="115"/>
      <c r="E924" s="115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</row>
    <row r="925" spans="1:41" ht="15.75" customHeight="1">
      <c r="A925" s="112"/>
      <c r="B925" s="112"/>
      <c r="D925" s="115"/>
      <c r="E925" s="115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</row>
    <row r="926" spans="1:41" ht="15.75" customHeight="1">
      <c r="A926" s="112"/>
      <c r="B926" s="112"/>
      <c r="D926" s="115"/>
      <c r="E926" s="115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</row>
    <row r="927" spans="1:41" ht="15.75" customHeight="1">
      <c r="A927" s="112"/>
      <c r="B927" s="112"/>
      <c r="D927" s="115"/>
      <c r="E927" s="115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</row>
    <row r="928" spans="1:41" ht="15.75" customHeight="1">
      <c r="A928" s="112"/>
      <c r="B928" s="112"/>
      <c r="D928" s="115"/>
      <c r="E928" s="115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</row>
    <row r="929" spans="1:41" ht="15.75" customHeight="1">
      <c r="A929" s="112"/>
      <c r="B929" s="112"/>
      <c r="D929" s="115"/>
      <c r="E929" s="115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</row>
    <row r="930" spans="1:41" ht="15.75" customHeight="1">
      <c r="A930" s="112"/>
      <c r="B930" s="112"/>
      <c r="D930" s="115"/>
      <c r="E930" s="115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</row>
    <row r="931" spans="1:41" ht="15.75" customHeight="1">
      <c r="A931" s="112"/>
      <c r="B931" s="112"/>
      <c r="D931" s="115"/>
      <c r="E931" s="115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</row>
    <row r="932" spans="1:41" ht="15.75" customHeight="1">
      <c r="A932" s="112"/>
      <c r="B932" s="112"/>
      <c r="D932" s="115"/>
      <c r="E932" s="115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</row>
    <row r="933" spans="1:41" ht="15.75" customHeight="1">
      <c r="A933" s="112"/>
      <c r="B933" s="112"/>
      <c r="D933" s="115"/>
      <c r="E933" s="115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</row>
    <row r="934" spans="1:41" ht="15.75" customHeight="1">
      <c r="A934" s="112"/>
      <c r="B934" s="112"/>
      <c r="D934" s="115"/>
      <c r="E934" s="115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</row>
    <row r="935" spans="1:41" ht="15.75" customHeight="1">
      <c r="A935" s="112"/>
      <c r="B935" s="112"/>
      <c r="D935" s="115"/>
      <c r="E935" s="115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</row>
    <row r="936" spans="1:41" ht="15.75" customHeight="1">
      <c r="A936" s="112"/>
      <c r="B936" s="112"/>
      <c r="D936" s="115"/>
      <c r="E936" s="115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</row>
    <row r="937" spans="1:41" ht="15.75" customHeight="1">
      <c r="A937" s="112"/>
      <c r="B937" s="112"/>
      <c r="D937" s="115"/>
      <c r="E937" s="115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</row>
    <row r="938" spans="1:41" ht="15.75" customHeight="1">
      <c r="A938" s="112"/>
      <c r="B938" s="112"/>
      <c r="D938" s="115"/>
      <c r="E938" s="115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</row>
    <row r="939" spans="1:41" ht="15.75" customHeight="1">
      <c r="A939" s="112"/>
      <c r="B939" s="112"/>
      <c r="D939" s="115"/>
      <c r="E939" s="115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</row>
    <row r="940" spans="1:41" ht="15.75" customHeight="1">
      <c r="A940" s="112"/>
      <c r="B940" s="112"/>
      <c r="D940" s="115"/>
      <c r="E940" s="115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</row>
    <row r="941" spans="1:41" ht="15.75" customHeight="1">
      <c r="A941" s="112"/>
      <c r="B941" s="112"/>
      <c r="D941" s="115"/>
      <c r="E941" s="115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</row>
    <row r="942" spans="1:41" ht="15.75" customHeight="1">
      <c r="A942" s="112"/>
      <c r="B942" s="112"/>
      <c r="D942" s="115"/>
      <c r="E942" s="115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</row>
    <row r="943" spans="1:41" ht="15.75" customHeight="1">
      <c r="A943" s="112"/>
      <c r="B943" s="112"/>
      <c r="D943" s="115"/>
      <c r="E943" s="115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</row>
    <row r="944" spans="1:41" ht="15.75" customHeight="1">
      <c r="A944" s="112"/>
      <c r="B944" s="112"/>
      <c r="D944" s="115"/>
      <c r="E944" s="115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</row>
    <row r="945" spans="1:41" ht="15.75" customHeight="1">
      <c r="A945" s="112"/>
      <c r="B945" s="112"/>
      <c r="D945" s="115"/>
      <c r="E945" s="115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</row>
    <row r="946" spans="1:41" ht="15.75" customHeight="1">
      <c r="A946" s="112"/>
      <c r="B946" s="112"/>
      <c r="D946" s="115"/>
      <c r="E946" s="115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</row>
    <row r="947" spans="1:41" ht="15.75" customHeight="1">
      <c r="A947" s="112"/>
      <c r="B947" s="112"/>
      <c r="D947" s="115"/>
      <c r="E947" s="115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</row>
    <row r="948" spans="1:41" ht="15.75" customHeight="1">
      <c r="A948" s="112"/>
      <c r="B948" s="112"/>
      <c r="D948" s="115"/>
      <c r="E948" s="115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</row>
    <row r="949" spans="1:41" ht="15.75" customHeight="1">
      <c r="A949" s="112"/>
      <c r="B949" s="112"/>
      <c r="D949" s="115"/>
      <c r="E949" s="115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</row>
    <row r="950" spans="1:41" ht="15.75" customHeight="1">
      <c r="A950" s="112"/>
      <c r="B950" s="112"/>
      <c r="D950" s="115"/>
      <c r="E950" s="115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</row>
    <row r="951" spans="1:41" ht="15.75" customHeight="1">
      <c r="A951" s="112"/>
      <c r="B951" s="112"/>
      <c r="D951" s="115"/>
      <c r="E951" s="115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</row>
    <row r="952" spans="1:41" ht="15.75" customHeight="1">
      <c r="A952" s="112"/>
      <c r="B952" s="112"/>
      <c r="D952" s="115"/>
      <c r="E952" s="115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</row>
    <row r="953" spans="1:41" ht="15.75" customHeight="1">
      <c r="A953" s="112"/>
      <c r="B953" s="112"/>
      <c r="D953" s="115"/>
      <c r="E953" s="115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</row>
    <row r="954" spans="1:41" ht="15.75" customHeight="1">
      <c r="A954" s="112"/>
      <c r="B954" s="112"/>
      <c r="D954" s="115"/>
      <c r="E954" s="115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</row>
    <row r="955" spans="1:41" ht="15.75" customHeight="1">
      <c r="A955" s="112"/>
      <c r="B955" s="112"/>
      <c r="D955" s="115"/>
      <c r="E955" s="115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</row>
    <row r="956" spans="1:41" ht="15.75" customHeight="1">
      <c r="A956" s="112"/>
      <c r="B956" s="112"/>
      <c r="D956" s="115"/>
      <c r="E956" s="115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</row>
    <row r="957" spans="1:41" ht="15.75" customHeight="1">
      <c r="A957" s="112"/>
      <c r="B957" s="112"/>
      <c r="D957" s="115"/>
      <c r="E957" s="115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</row>
    <row r="958" spans="1:41" ht="15.75" customHeight="1">
      <c r="A958" s="112"/>
      <c r="B958" s="112"/>
      <c r="D958" s="115"/>
      <c r="E958" s="115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</row>
    <row r="959" spans="1:41" ht="15.75" customHeight="1">
      <c r="A959" s="112"/>
      <c r="B959" s="112"/>
      <c r="D959" s="115"/>
      <c r="E959" s="115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</row>
    <row r="960" spans="1:41" ht="15.75" customHeight="1">
      <c r="A960" s="112"/>
      <c r="B960" s="112"/>
      <c r="D960" s="115"/>
      <c r="E960" s="115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</row>
    <row r="961" spans="1:41" ht="15.75" customHeight="1">
      <c r="A961" s="112"/>
      <c r="B961" s="112"/>
      <c r="D961" s="115"/>
      <c r="E961" s="115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</row>
    <row r="962" spans="1:41" ht="15.75" customHeight="1">
      <c r="A962" s="112"/>
      <c r="B962" s="112"/>
      <c r="D962" s="115"/>
      <c r="E962" s="115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</row>
    <row r="963" spans="1:41" ht="15.75" customHeight="1">
      <c r="A963" s="112"/>
      <c r="B963" s="112"/>
      <c r="D963" s="115"/>
      <c r="E963" s="115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</row>
    <row r="964" spans="1:41" ht="15.75" customHeight="1">
      <c r="A964" s="112"/>
      <c r="B964" s="112"/>
      <c r="D964" s="115"/>
      <c r="E964" s="115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</row>
    <row r="965" spans="1:41" ht="15.75" customHeight="1">
      <c r="A965" s="112"/>
      <c r="B965" s="112"/>
      <c r="D965" s="115"/>
      <c r="E965" s="115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</row>
    <row r="966" spans="1:41" ht="15.75" customHeight="1">
      <c r="A966" s="112"/>
      <c r="B966" s="112"/>
      <c r="D966" s="115"/>
      <c r="E966" s="115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</row>
    <row r="967" spans="1:41" ht="15.75" customHeight="1">
      <c r="A967" s="112"/>
      <c r="B967" s="112"/>
      <c r="D967" s="115"/>
      <c r="E967" s="115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</row>
    <row r="968" spans="1:41" ht="15.75" customHeight="1">
      <c r="A968" s="112"/>
      <c r="B968" s="112"/>
      <c r="D968" s="115"/>
      <c r="E968" s="115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</row>
    <row r="969" spans="1:41" ht="15.75" customHeight="1">
      <c r="A969" s="112"/>
      <c r="B969" s="112"/>
      <c r="D969" s="115"/>
      <c r="E969" s="115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</row>
    <row r="970" spans="1:41" ht="15.75" customHeight="1">
      <c r="A970" s="112"/>
      <c r="B970" s="112"/>
      <c r="D970" s="115"/>
      <c r="E970" s="115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</row>
    <row r="971" spans="1:41" ht="15.75" customHeight="1">
      <c r="A971" s="112"/>
      <c r="B971" s="112"/>
      <c r="D971" s="115"/>
      <c r="E971" s="115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</row>
    <row r="972" spans="1:41" ht="15.75" customHeight="1">
      <c r="A972" s="112"/>
      <c r="B972" s="112"/>
      <c r="D972" s="115"/>
      <c r="E972" s="115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</row>
    <row r="973" spans="1:41" ht="15.75" customHeight="1">
      <c r="A973" s="112"/>
      <c r="B973" s="112"/>
      <c r="D973" s="115"/>
      <c r="E973" s="115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</row>
    <row r="974" spans="1:41" ht="15.75" customHeight="1">
      <c r="A974" s="112"/>
      <c r="B974" s="112"/>
      <c r="D974" s="115"/>
      <c r="E974" s="115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</row>
    <row r="975" spans="1:41" ht="15.75" customHeight="1">
      <c r="A975" s="112"/>
      <c r="B975" s="112"/>
      <c r="D975" s="115"/>
      <c r="E975" s="115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</row>
    <row r="976" spans="1:41" ht="15.75" customHeight="1">
      <c r="A976" s="112"/>
      <c r="B976" s="112"/>
      <c r="D976" s="115"/>
      <c r="E976" s="115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</row>
    <row r="977" spans="1:41" ht="15.75" customHeight="1">
      <c r="A977" s="112"/>
      <c r="B977" s="112"/>
      <c r="D977" s="115"/>
      <c r="E977" s="115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</row>
    <row r="978" spans="1:41" ht="15.75" customHeight="1">
      <c r="A978" s="112"/>
      <c r="B978" s="112"/>
      <c r="D978" s="115"/>
      <c r="E978" s="115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</row>
    <row r="979" spans="1:41" ht="15.75" customHeight="1">
      <c r="A979" s="112"/>
      <c r="B979" s="112"/>
      <c r="D979" s="115"/>
      <c r="E979" s="115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</row>
    <row r="980" spans="1:41" ht="15.75" customHeight="1">
      <c r="A980" s="112"/>
      <c r="B980" s="112"/>
      <c r="D980" s="115"/>
      <c r="E980" s="115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</row>
    <row r="981" spans="1:41" ht="15.75" customHeight="1">
      <c r="A981" s="112"/>
      <c r="B981" s="112"/>
      <c r="D981" s="115"/>
      <c r="E981" s="115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</row>
    <row r="982" spans="1:41" ht="15.75" customHeight="1">
      <c r="A982" s="112"/>
      <c r="B982" s="112"/>
      <c r="D982" s="115"/>
      <c r="E982" s="115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</row>
    <row r="983" spans="1:41" ht="15.75" customHeight="1">
      <c r="A983" s="112"/>
      <c r="B983" s="112"/>
      <c r="D983" s="115"/>
      <c r="E983" s="115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</row>
    <row r="984" spans="1:41" ht="15.75" customHeight="1">
      <c r="A984" s="112"/>
      <c r="B984" s="112"/>
      <c r="D984" s="115"/>
      <c r="E984" s="115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</row>
    <row r="985" spans="1:41" ht="15.75" customHeight="1">
      <c r="A985" s="112"/>
      <c r="B985" s="112"/>
      <c r="D985" s="115"/>
      <c r="E985" s="115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</row>
    <row r="986" spans="1:41" ht="15.75" customHeight="1">
      <c r="A986" s="112"/>
      <c r="B986" s="112"/>
      <c r="D986" s="115"/>
      <c r="E986" s="115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</row>
    <row r="987" spans="1:41" ht="15.75" customHeight="1">
      <c r="A987" s="112"/>
      <c r="B987" s="112"/>
      <c r="D987" s="115"/>
      <c r="E987" s="115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</row>
    <row r="988" spans="1:41" ht="15.75" customHeight="1">
      <c r="A988" s="112"/>
      <c r="B988" s="112"/>
      <c r="D988" s="115"/>
      <c r="E988" s="115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</row>
    <row r="989" spans="1:41" ht="15.75" customHeight="1">
      <c r="A989" s="112"/>
      <c r="B989" s="112"/>
      <c r="D989" s="115"/>
      <c r="E989" s="115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</row>
    <row r="990" spans="1:41" ht="15.75" customHeight="1">
      <c r="A990" s="112"/>
      <c r="B990" s="112"/>
      <c r="D990" s="115"/>
      <c r="E990" s="115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</row>
    <row r="991" spans="1:41" ht="15.75" customHeight="1">
      <c r="A991" s="112"/>
      <c r="B991" s="112"/>
      <c r="D991" s="115"/>
      <c r="E991" s="115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</row>
    <row r="992" spans="1:41" ht="15.75" customHeight="1">
      <c r="A992" s="106"/>
      <c r="B992" s="107"/>
      <c r="D992" s="108"/>
      <c r="E992" s="108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</row>
    <row r="993" spans="1:41" ht="15.75" customHeight="1">
      <c r="A993" s="106"/>
      <c r="B993" s="107"/>
      <c r="D993" s="108"/>
      <c r="E993" s="108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</row>
    <row r="994" spans="1:41" ht="15.75" customHeight="1">
      <c r="A994" s="106"/>
      <c r="B994" s="107"/>
      <c r="D994" s="108"/>
      <c r="E994" s="108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</row>
    <row r="995" spans="1:41" ht="15.75" customHeight="1">
      <c r="A995" s="106"/>
      <c r="B995" s="107"/>
      <c r="D995" s="108"/>
      <c r="E995" s="108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</row>
    <row r="996" spans="1:41" ht="15.75" customHeight="1">
      <c r="A996" s="106"/>
      <c r="B996" s="107"/>
      <c r="D996" s="108"/>
      <c r="E996" s="108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</row>
    <row r="997" spans="1:41" ht="15.75" customHeight="1">
      <c r="A997" s="106"/>
      <c r="B997" s="107"/>
      <c r="D997" s="108"/>
      <c r="E997" s="108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</row>
    <row r="998" spans="1:41" ht="15.75" customHeight="1">
      <c r="A998" s="106"/>
      <c r="B998" s="107"/>
      <c r="D998" s="108"/>
      <c r="E998" s="108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  <c r="AO998" s="109"/>
    </row>
    <row r="999" spans="1:41" ht="15.75" customHeight="1">
      <c r="A999" s="106"/>
      <c r="B999" s="107"/>
      <c r="D999" s="108"/>
      <c r="E999" s="108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  <c r="AN999" s="109"/>
      <c r="AO999" s="109"/>
    </row>
    <row r="1000" spans="1:41" ht="15.75" customHeight="1">
      <c r="A1000" s="106"/>
      <c r="B1000" s="107"/>
      <c r="D1000" s="108"/>
      <c r="E1000" s="108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  <c r="AN1000" s="109"/>
      <c r="AO1000" s="109"/>
    </row>
  </sheetData>
  <dataValidations count="2">
    <dataValidation type="list" allowBlank="1" sqref="O2:Z201" xr:uid="{00000000-0002-0000-0400-000000000000}">
      <formula1>"Pass,Fail,Pending,N/A"</formula1>
    </dataValidation>
    <dataValidation type="list" allowBlank="1" sqref="C2:H201" xr:uid="{00000000-0002-0000-0400-000001000000}">
      <formula1>"Yes,No"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2015-06-05T18:17:20Z</dcterms:created>
  <dcterms:modified xsi:type="dcterms:W3CDTF">2026-08-18T09:39:47Z</dcterms:modified>
  <cp:category/>
  <cp:contentStatus/>
</cp:coreProperties>
</file>